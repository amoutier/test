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ate1904="1"/>
  <mc:AlternateContent xmlns:mc="http://schemas.openxmlformats.org/markup-compatibility/2006">
    <mc:Choice Requires="x15">
      <x15ac:absPath xmlns:x15ac="http://schemas.microsoft.com/office/spreadsheetml/2010/11/ac" url="C:\Users\MOUTIEAU\Documents\2_Privé - Administratif MCA\"/>
    </mc:Choice>
  </mc:AlternateContent>
  <xr:revisionPtr revIDLastSave="0" documentId="13_ncr:1_{A484A23E-4994-4E8F-A652-9B2BB6EB74AB}" xr6:coauthVersionLast="47" xr6:coauthVersionMax="47" xr10:uidLastSave="{00000000-0000-0000-0000-000000000000}"/>
  <bookViews>
    <workbookView xWindow="-120" yWindow="-120" windowWidth="29040" windowHeight="15720" xr2:uid="{00000000-000D-0000-FFFF-FFFF00000000}"/>
  </bookViews>
  <sheets>
    <sheet name="2026" sheetId="6" r:id="rId1"/>
    <sheet name="Justif MCA" sheetId="10" r:id="rId2"/>
    <sheet name="Préparation Dossier" sheetId="1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15" i="6" l="1"/>
  <c r="AB15" i="6" s="1"/>
  <c r="Y8" i="6"/>
  <c r="Y3" i="6"/>
  <c r="Y22" i="6"/>
  <c r="AB22" i="6" s="1"/>
  <c r="G32" i="10"/>
  <c r="F32" i="10" s="1"/>
  <c r="AB8" i="6"/>
  <c r="AB3" i="6"/>
  <c r="G31" i="10"/>
  <c r="F31" i="10" s="1"/>
  <c r="G30" i="10"/>
  <c r="F30" i="10" s="1"/>
  <c r="Y253" i="6"/>
  <c r="Y239" i="6"/>
  <c r="Y246" i="6"/>
  <c r="Y232" i="6"/>
  <c r="Y226" i="6"/>
  <c r="Y225" i="6"/>
  <c r="Y204" i="6"/>
  <c r="Y211" i="6"/>
  <c r="Y218" i="6"/>
  <c r="Y197" i="6"/>
  <c r="Y190" i="6"/>
  <c r="Y176" i="6"/>
  <c r="Y183" i="6"/>
  <c r="Y169" i="6"/>
  <c r="Y165" i="6"/>
  <c r="Y162" i="6"/>
  <c r="Y148" i="6"/>
  <c r="Y155" i="6"/>
  <c r="Y141" i="6"/>
  <c r="Y135" i="6"/>
  <c r="Y134" i="6"/>
  <c r="Y113" i="6"/>
  <c r="Y120" i="6"/>
  <c r="Y127" i="6"/>
  <c r="Y106" i="6"/>
  <c r="Y99" i="6"/>
  <c r="Y85" i="6"/>
  <c r="Y92" i="6"/>
  <c r="Y78" i="6"/>
  <c r="Y73" i="6"/>
  <c r="Y71" i="6"/>
  <c r="Y36" i="6"/>
  <c r="Y43" i="6"/>
  <c r="Y50" i="6"/>
  <c r="Y57" i="6"/>
  <c r="Y64" i="6"/>
  <c r="J51" i="6"/>
  <c r="J52" i="6"/>
  <c r="J53" i="6"/>
  <c r="J54" i="6"/>
  <c r="J57" i="6"/>
  <c r="J58" i="6"/>
  <c r="J59" i="6"/>
  <c r="J60" i="6"/>
  <c r="J61" i="6"/>
  <c r="J64" i="6"/>
  <c r="J65" i="6"/>
  <c r="J66" i="6"/>
  <c r="J67" i="6"/>
  <c r="J68" i="6"/>
  <c r="J71" i="6"/>
  <c r="J72" i="6"/>
  <c r="J73" i="6"/>
  <c r="J74" i="6"/>
  <c r="J75" i="6"/>
  <c r="J78" i="6"/>
  <c r="J79" i="6"/>
  <c r="J80" i="6"/>
  <c r="J81" i="6"/>
  <c r="J82" i="6"/>
  <c r="J85" i="6"/>
  <c r="J87" i="6"/>
  <c r="J88" i="6"/>
  <c r="J89" i="6"/>
  <c r="J92" i="6"/>
  <c r="J93" i="6"/>
  <c r="J94" i="6"/>
  <c r="J95" i="6"/>
  <c r="J96" i="6"/>
  <c r="J99" i="6"/>
  <c r="J100" i="6"/>
  <c r="J101" i="6"/>
  <c r="J102" i="6"/>
  <c r="J103" i="6"/>
  <c r="J106" i="6"/>
  <c r="J107" i="6"/>
  <c r="J108" i="6"/>
  <c r="J109" i="6"/>
  <c r="J110" i="6"/>
  <c r="J113" i="6"/>
  <c r="J114" i="6"/>
  <c r="J115" i="6"/>
  <c r="J116" i="6"/>
  <c r="J117" i="6"/>
  <c r="J120" i="6"/>
  <c r="J121" i="6"/>
  <c r="J122" i="6"/>
  <c r="J123" i="6"/>
  <c r="J124" i="6"/>
  <c r="J127" i="6"/>
  <c r="J128" i="6"/>
  <c r="J129" i="6"/>
  <c r="J130" i="6"/>
  <c r="J131" i="6"/>
  <c r="J134" i="6"/>
  <c r="J135" i="6"/>
  <c r="J136" i="6"/>
  <c r="J137" i="6"/>
  <c r="J138" i="6"/>
  <c r="J141" i="6"/>
  <c r="J142" i="6"/>
  <c r="J143" i="6"/>
  <c r="J144" i="6"/>
  <c r="J145" i="6"/>
  <c r="J148" i="6"/>
  <c r="J149" i="6"/>
  <c r="J150" i="6"/>
  <c r="J151" i="6"/>
  <c r="J152" i="6"/>
  <c r="J155" i="6"/>
  <c r="J156" i="6"/>
  <c r="J157" i="6"/>
  <c r="J158" i="6"/>
  <c r="J159" i="6"/>
  <c r="J162" i="6"/>
  <c r="J163" i="6"/>
  <c r="J164" i="6"/>
  <c r="J165" i="6"/>
  <c r="J166" i="6"/>
  <c r="J169" i="6"/>
  <c r="J170" i="6"/>
  <c r="J171" i="6"/>
  <c r="J172" i="6"/>
  <c r="J173" i="6"/>
  <c r="J176" i="6"/>
  <c r="J177" i="6"/>
  <c r="J178" i="6"/>
  <c r="J179" i="6"/>
  <c r="J180" i="6"/>
  <c r="J183" i="6"/>
  <c r="J184" i="6"/>
  <c r="J185" i="6"/>
  <c r="J186" i="6"/>
  <c r="J187" i="6"/>
  <c r="J190" i="6"/>
  <c r="J191" i="6"/>
  <c r="J192" i="6"/>
  <c r="J193" i="6"/>
  <c r="J194" i="6"/>
  <c r="J197" i="6"/>
  <c r="J198" i="6"/>
  <c r="J199" i="6"/>
  <c r="J200" i="6"/>
  <c r="J201" i="6"/>
  <c r="J204" i="6"/>
  <c r="J205" i="6"/>
  <c r="J207" i="6"/>
  <c r="J208" i="6"/>
  <c r="J211" i="6"/>
  <c r="J212" i="6"/>
  <c r="J213" i="6"/>
  <c r="J214" i="6"/>
  <c r="J215" i="6"/>
  <c r="J218" i="6"/>
  <c r="J219" i="6"/>
  <c r="J220" i="6"/>
  <c r="J221" i="6"/>
  <c r="J222" i="6"/>
  <c r="J225" i="6"/>
  <c r="J226" i="6"/>
  <c r="J227" i="6"/>
  <c r="J228" i="6"/>
  <c r="J229" i="6"/>
  <c r="J232" i="6"/>
  <c r="J233" i="6"/>
  <c r="J234" i="6"/>
  <c r="J235" i="6"/>
  <c r="J236" i="6"/>
  <c r="J239" i="6"/>
  <c r="J240" i="6"/>
  <c r="J241" i="6"/>
  <c r="J242" i="6"/>
  <c r="J243" i="6"/>
  <c r="J246" i="6"/>
  <c r="J247" i="6"/>
  <c r="J248" i="6"/>
  <c r="J249" i="6"/>
  <c r="J253" i="6"/>
  <c r="J254" i="6"/>
  <c r="J255" i="6"/>
  <c r="J256" i="6"/>
  <c r="J50" i="6"/>
  <c r="J43" i="6"/>
  <c r="J44" i="6"/>
  <c r="J45" i="6"/>
  <c r="J46" i="6"/>
  <c r="J47" i="6"/>
  <c r="J38" i="6"/>
  <c r="J39" i="6"/>
  <c r="J40" i="6"/>
  <c r="J37" i="6"/>
  <c r="J33" i="6"/>
  <c r="X253" i="6"/>
  <c r="X239" i="6"/>
  <c r="X246" i="6"/>
  <c r="X232" i="6"/>
  <c r="X226" i="6"/>
  <c r="X225" i="6"/>
  <c r="X204" i="6"/>
  <c r="X211" i="6"/>
  <c r="X218" i="6"/>
  <c r="X197" i="6"/>
  <c r="X190" i="6"/>
  <c r="X176" i="6"/>
  <c r="X183" i="6"/>
  <c r="X169" i="6"/>
  <c r="X165" i="6"/>
  <c r="X162" i="6"/>
  <c r="X148" i="6"/>
  <c r="X155" i="6"/>
  <c r="X141" i="6"/>
  <c r="X135" i="6"/>
  <c r="X134" i="6"/>
  <c r="X113" i="6"/>
  <c r="X120" i="6"/>
  <c r="X127" i="6"/>
  <c r="X106" i="6"/>
  <c r="X99" i="6"/>
  <c r="X85" i="6"/>
  <c r="X92" i="6"/>
  <c r="X78" i="6"/>
  <c r="X73" i="6"/>
  <c r="X71" i="6"/>
  <c r="X36" i="6"/>
  <c r="X43" i="6"/>
  <c r="X50" i="6"/>
  <c r="X57" i="6"/>
  <c r="X64" i="6"/>
  <c r="X22" i="6"/>
  <c r="X15" i="6"/>
  <c r="X8" i="6"/>
  <c r="X3" i="6"/>
  <c r="F15" i="10"/>
  <c r="F18" i="10"/>
  <c r="F5" i="10"/>
  <c r="F3" i="10"/>
  <c r="L2" i="10"/>
  <c r="G4" i="10"/>
  <c r="F4" i="10" s="1"/>
  <c r="G5" i="10"/>
  <c r="G8" i="10"/>
  <c r="F8" i="10" s="1"/>
  <c r="G9" i="10"/>
  <c r="F9" i="10" s="1"/>
  <c r="G10" i="10"/>
  <c r="F10" i="10" s="1"/>
  <c r="G11" i="10"/>
  <c r="F11" i="10" s="1"/>
  <c r="G15" i="10"/>
  <c r="G16" i="10"/>
  <c r="F16" i="10" s="1"/>
  <c r="G17" i="10"/>
  <c r="F17" i="10" s="1"/>
  <c r="G18" i="10"/>
  <c r="G22" i="10"/>
  <c r="F22" i="10" s="1"/>
  <c r="G23" i="10"/>
  <c r="F23" i="10" s="1"/>
  <c r="G24" i="10"/>
  <c r="F24" i="10" s="1"/>
  <c r="G26" i="10"/>
  <c r="F26" i="10" s="1"/>
  <c r="G29" i="10"/>
  <c r="F29" i="10" s="1"/>
  <c r="G3" i="10"/>
  <c r="H12" i="10" l="1"/>
  <c r="I12" i="10" s="1"/>
  <c r="H3" i="10"/>
  <c r="I3" i="10" s="1"/>
  <c r="H104" i="10"/>
  <c r="I104" i="10" s="1"/>
  <c r="H73" i="10"/>
  <c r="I73" i="10" s="1"/>
  <c r="H43" i="10"/>
  <c r="I43" i="10" s="1"/>
  <c r="AD14" i="6"/>
  <c r="AA257" i="6"/>
  <c r="I127" i="10" l="1"/>
  <c r="H127" i="10"/>
  <c r="G4" i="6"/>
  <c r="G5" i="6"/>
  <c r="G8" i="6"/>
  <c r="G9" i="6"/>
  <c r="G10" i="6"/>
  <c r="G11" i="6"/>
  <c r="G15" i="6"/>
  <c r="G16" i="6"/>
  <c r="G17" i="6"/>
  <c r="G18" i="6"/>
  <c r="G22" i="6"/>
  <c r="G23" i="6"/>
  <c r="G24" i="6"/>
  <c r="G26" i="6"/>
  <c r="G29" i="6"/>
  <c r="G30" i="6"/>
  <c r="G31" i="6"/>
  <c r="G32" i="6"/>
  <c r="G33" i="6"/>
  <c r="G37" i="6"/>
  <c r="G38" i="6"/>
  <c r="G39" i="6"/>
  <c r="G40" i="6"/>
  <c r="G43" i="6"/>
  <c r="G44" i="6"/>
  <c r="G45" i="6"/>
  <c r="G46" i="6"/>
  <c r="G47" i="6"/>
  <c r="G50" i="6"/>
  <c r="G51" i="6"/>
  <c r="G52" i="6"/>
  <c r="G53" i="6"/>
  <c r="G54" i="6"/>
  <c r="G57" i="6"/>
  <c r="G58" i="6"/>
  <c r="G59" i="6"/>
  <c r="G60" i="6"/>
  <c r="G61" i="6"/>
  <c r="G64" i="6"/>
  <c r="G65" i="6"/>
  <c r="G66" i="6"/>
  <c r="G67" i="6"/>
  <c r="G68" i="6"/>
  <c r="G71" i="6"/>
  <c r="G72" i="6"/>
  <c r="G73" i="6"/>
  <c r="G74" i="6"/>
  <c r="G75" i="6"/>
  <c r="G78" i="6"/>
  <c r="G79" i="6"/>
  <c r="G80" i="6"/>
  <c r="G81" i="6"/>
  <c r="G82" i="6"/>
  <c r="G85" i="6"/>
  <c r="G87" i="6"/>
  <c r="G88" i="6"/>
  <c r="G89" i="6"/>
  <c r="G92" i="6"/>
  <c r="G93" i="6"/>
  <c r="G94" i="6"/>
  <c r="G95" i="6"/>
  <c r="G96" i="6"/>
  <c r="G99" i="6"/>
  <c r="G100" i="6"/>
  <c r="G101" i="6"/>
  <c r="G102" i="6"/>
  <c r="G103" i="6"/>
  <c r="G106" i="6"/>
  <c r="G107" i="6"/>
  <c r="G108" i="6"/>
  <c r="G109" i="6"/>
  <c r="G110" i="6"/>
  <c r="G113" i="6"/>
  <c r="G114" i="6"/>
  <c r="G115" i="6"/>
  <c r="G116" i="6"/>
  <c r="G117" i="6"/>
  <c r="G120" i="6"/>
  <c r="G121" i="6"/>
  <c r="G122" i="6"/>
  <c r="G123" i="6"/>
  <c r="G124" i="6"/>
  <c r="G127" i="6"/>
  <c r="G128" i="6"/>
  <c r="G129" i="6"/>
  <c r="G130" i="6"/>
  <c r="G131" i="6"/>
  <c r="G134" i="6"/>
  <c r="G135" i="6"/>
  <c r="G136" i="6"/>
  <c r="G137" i="6"/>
  <c r="G138" i="6"/>
  <c r="G141" i="6"/>
  <c r="G142" i="6"/>
  <c r="G143" i="6"/>
  <c r="G144" i="6"/>
  <c r="G145" i="6"/>
  <c r="G148" i="6"/>
  <c r="G149" i="6"/>
  <c r="G150" i="6"/>
  <c r="G151" i="6"/>
  <c r="G152" i="6"/>
  <c r="G155" i="6"/>
  <c r="G156" i="6"/>
  <c r="G157" i="6"/>
  <c r="G158" i="6"/>
  <c r="G159" i="6"/>
  <c r="G162" i="6"/>
  <c r="G163" i="6"/>
  <c r="G164" i="6"/>
  <c r="G165" i="6"/>
  <c r="G166" i="6"/>
  <c r="G169" i="6"/>
  <c r="G170" i="6"/>
  <c r="G171" i="6"/>
  <c r="G172" i="6"/>
  <c r="G173" i="6"/>
  <c r="G176" i="6"/>
  <c r="G177" i="6"/>
  <c r="G178" i="6"/>
  <c r="G179" i="6"/>
  <c r="G180" i="6"/>
  <c r="G183" i="6"/>
  <c r="G184" i="6"/>
  <c r="G185" i="6"/>
  <c r="G186" i="6"/>
  <c r="G187" i="6"/>
  <c r="G190" i="6"/>
  <c r="G191" i="6"/>
  <c r="G192" i="6"/>
  <c r="G193" i="6"/>
  <c r="G194" i="6"/>
  <c r="G197" i="6"/>
  <c r="G198" i="6"/>
  <c r="G199" i="6"/>
  <c r="G200" i="6"/>
  <c r="G201" i="6"/>
  <c r="G204" i="6"/>
  <c r="G205" i="6"/>
  <c r="G207" i="6"/>
  <c r="G208" i="6"/>
  <c r="G211" i="6"/>
  <c r="G212" i="6"/>
  <c r="G213" i="6"/>
  <c r="G214" i="6"/>
  <c r="G215" i="6"/>
  <c r="G218" i="6"/>
  <c r="G219" i="6"/>
  <c r="G220" i="6"/>
  <c r="G221" i="6"/>
  <c r="G222" i="6"/>
  <c r="G225" i="6"/>
  <c r="G226" i="6"/>
  <c r="G227" i="6"/>
  <c r="G228" i="6"/>
  <c r="G229" i="6"/>
  <c r="G232" i="6"/>
  <c r="G233" i="6"/>
  <c r="G234" i="6"/>
  <c r="G235" i="6"/>
  <c r="G236" i="6"/>
  <c r="G239" i="6"/>
  <c r="G240" i="6"/>
  <c r="G241" i="6"/>
  <c r="G242" i="6"/>
  <c r="G243" i="6"/>
  <c r="G246" i="6"/>
  <c r="G247" i="6"/>
  <c r="G248" i="6"/>
  <c r="G249" i="6"/>
  <c r="G253" i="6"/>
  <c r="G254" i="6"/>
  <c r="G255" i="6"/>
  <c r="G256" i="6"/>
  <c r="G3" i="6"/>
  <c r="F26" i="6"/>
  <c r="I26" i="6" s="1"/>
  <c r="F29" i="6"/>
  <c r="F30" i="6"/>
  <c r="I30" i="6" s="1"/>
  <c r="F31" i="6"/>
  <c r="I31" i="6" s="1"/>
  <c r="F32" i="6"/>
  <c r="I32" i="6" s="1"/>
  <c r="F33" i="6"/>
  <c r="I33" i="6" s="1"/>
  <c r="F37" i="6"/>
  <c r="F38" i="6"/>
  <c r="F39" i="6"/>
  <c r="I39" i="6" s="1"/>
  <c r="F40" i="6"/>
  <c r="H40" i="6" s="1"/>
  <c r="F43" i="6"/>
  <c r="F44" i="6"/>
  <c r="I44" i="6" s="1"/>
  <c r="F45" i="6"/>
  <c r="I45" i="6" s="1"/>
  <c r="F46" i="6"/>
  <c r="I46" i="6" s="1"/>
  <c r="F47" i="6"/>
  <c r="I47" i="6" s="1"/>
  <c r="F50" i="6"/>
  <c r="F51" i="6"/>
  <c r="I51" i="6" s="1"/>
  <c r="F52" i="6"/>
  <c r="I52" i="6" s="1"/>
  <c r="F53" i="6"/>
  <c r="I53" i="6" s="1"/>
  <c r="F54" i="6"/>
  <c r="F57" i="6"/>
  <c r="F58" i="6"/>
  <c r="I58" i="6" s="1"/>
  <c r="F59" i="6"/>
  <c r="I59" i="6" s="1"/>
  <c r="F60" i="6"/>
  <c r="I60" i="6" s="1"/>
  <c r="F61" i="6"/>
  <c r="I61" i="6" s="1"/>
  <c r="F64" i="6"/>
  <c r="F65" i="6"/>
  <c r="I65" i="6" s="1"/>
  <c r="F66" i="6"/>
  <c r="I66" i="6" s="1"/>
  <c r="F67" i="6"/>
  <c r="I67" i="6" s="1"/>
  <c r="F68" i="6"/>
  <c r="I68" i="6" s="1"/>
  <c r="F71" i="6"/>
  <c r="F72" i="6"/>
  <c r="I72" i="6" s="1"/>
  <c r="F73" i="6"/>
  <c r="F74" i="6"/>
  <c r="I74" i="6" s="1"/>
  <c r="F75" i="6"/>
  <c r="I75" i="6" s="1"/>
  <c r="F78" i="6"/>
  <c r="F79" i="6"/>
  <c r="I79" i="6" s="1"/>
  <c r="F80" i="6"/>
  <c r="F81" i="6"/>
  <c r="I81" i="6" s="1"/>
  <c r="F82" i="6"/>
  <c r="I82" i="6" s="1"/>
  <c r="F85" i="6"/>
  <c r="F87" i="6"/>
  <c r="I87" i="6" s="1"/>
  <c r="F88" i="6"/>
  <c r="I88" i="6" s="1"/>
  <c r="F89" i="6"/>
  <c r="I89" i="6" s="1"/>
  <c r="F92" i="6"/>
  <c r="F93" i="6"/>
  <c r="I93" i="6" s="1"/>
  <c r="F94" i="6"/>
  <c r="I94" i="6" s="1"/>
  <c r="F95" i="6"/>
  <c r="I95" i="6" s="1"/>
  <c r="F96" i="6"/>
  <c r="I96" i="6" s="1"/>
  <c r="F99" i="6"/>
  <c r="F100" i="6"/>
  <c r="I100" i="6" s="1"/>
  <c r="F101" i="6"/>
  <c r="I101" i="6" s="1"/>
  <c r="F102" i="6"/>
  <c r="F103" i="6"/>
  <c r="I103" i="6" s="1"/>
  <c r="F106" i="6"/>
  <c r="F107" i="6"/>
  <c r="I107" i="6" s="1"/>
  <c r="F108" i="6"/>
  <c r="F109" i="6"/>
  <c r="H109" i="6" s="1"/>
  <c r="F110" i="6"/>
  <c r="F113" i="6"/>
  <c r="F114" i="6"/>
  <c r="I114" i="6" s="1"/>
  <c r="F115" i="6"/>
  <c r="I115" i="6" s="1"/>
  <c r="F116" i="6"/>
  <c r="I116" i="6" s="1"/>
  <c r="F117" i="6"/>
  <c r="F120" i="6"/>
  <c r="F121" i="6"/>
  <c r="I121" i="6" s="1"/>
  <c r="F122" i="6"/>
  <c r="I122" i="6" s="1"/>
  <c r="F123" i="6"/>
  <c r="I123" i="6" s="1"/>
  <c r="F124" i="6"/>
  <c r="I124" i="6" s="1"/>
  <c r="F127" i="6"/>
  <c r="F128" i="6"/>
  <c r="I128" i="6" s="1"/>
  <c r="F129" i="6"/>
  <c r="I129" i="6" s="1"/>
  <c r="F130" i="6"/>
  <c r="F131" i="6"/>
  <c r="I131" i="6" s="1"/>
  <c r="F134" i="6"/>
  <c r="F135" i="6"/>
  <c r="F136" i="6"/>
  <c r="I136" i="6" s="1"/>
  <c r="F137" i="6"/>
  <c r="I137" i="6" s="1"/>
  <c r="F138" i="6"/>
  <c r="I138" i="6" s="1"/>
  <c r="F141" i="6"/>
  <c r="F142" i="6"/>
  <c r="F143" i="6"/>
  <c r="I143" i="6" s="1"/>
  <c r="F144" i="6"/>
  <c r="I144" i="6" s="1"/>
  <c r="F145" i="6"/>
  <c r="I145" i="6" s="1"/>
  <c r="F148" i="6"/>
  <c r="F149" i="6"/>
  <c r="I149" i="6" s="1"/>
  <c r="F150" i="6"/>
  <c r="H150" i="6" s="1"/>
  <c r="F151" i="6"/>
  <c r="F152" i="6"/>
  <c r="F155" i="6"/>
  <c r="F156" i="6"/>
  <c r="I156" i="6" s="1"/>
  <c r="F157" i="6"/>
  <c r="F158" i="6"/>
  <c r="I158" i="6" s="1"/>
  <c r="F159" i="6"/>
  <c r="I159" i="6" s="1"/>
  <c r="F162" i="6"/>
  <c r="F163" i="6"/>
  <c r="F164" i="6"/>
  <c r="F165" i="6"/>
  <c r="F166" i="6"/>
  <c r="F169" i="6"/>
  <c r="F170" i="6"/>
  <c r="F171" i="6"/>
  <c r="I171" i="6" s="1"/>
  <c r="F172" i="6"/>
  <c r="I172" i="6" s="1"/>
  <c r="F173" i="6"/>
  <c r="I173" i="6" s="1"/>
  <c r="F176" i="6"/>
  <c r="F177" i="6"/>
  <c r="I177" i="6" s="1"/>
  <c r="F178" i="6"/>
  <c r="I178" i="6" s="1"/>
  <c r="F179" i="6"/>
  <c r="I179" i="6" s="1"/>
  <c r="F180" i="6"/>
  <c r="F183" i="6"/>
  <c r="F184" i="6"/>
  <c r="F185" i="6"/>
  <c r="F186" i="6"/>
  <c r="F187" i="6"/>
  <c r="I187" i="6" s="1"/>
  <c r="F190" i="6"/>
  <c r="F191" i="6"/>
  <c r="I191" i="6" s="1"/>
  <c r="F192" i="6"/>
  <c r="F193" i="6"/>
  <c r="I193" i="6" s="1"/>
  <c r="F194" i="6"/>
  <c r="I194" i="6" s="1"/>
  <c r="F197" i="6"/>
  <c r="F198" i="6"/>
  <c r="F199" i="6"/>
  <c r="H199" i="6" s="1"/>
  <c r="F200" i="6"/>
  <c r="F201" i="6"/>
  <c r="I201" i="6" s="1"/>
  <c r="F204" i="6"/>
  <c r="F205" i="6"/>
  <c r="I205" i="6" s="1"/>
  <c r="F207" i="6"/>
  <c r="I207" i="6" s="1"/>
  <c r="F208" i="6"/>
  <c r="I208" i="6" s="1"/>
  <c r="F211" i="6"/>
  <c r="F212" i="6"/>
  <c r="H212" i="6" s="1"/>
  <c r="F213" i="6"/>
  <c r="I213" i="6" s="1"/>
  <c r="F214" i="6"/>
  <c r="F215" i="6"/>
  <c r="F218" i="6"/>
  <c r="F219" i="6"/>
  <c r="I219" i="6" s="1"/>
  <c r="F220" i="6"/>
  <c r="I220" i="6" s="1"/>
  <c r="F221" i="6"/>
  <c r="I221" i="6" s="1"/>
  <c r="F222" i="6"/>
  <c r="I222" i="6" s="1"/>
  <c r="F225" i="6"/>
  <c r="F226" i="6"/>
  <c r="F227" i="6"/>
  <c r="I227" i="6" s="1"/>
  <c r="F228" i="6"/>
  <c r="I228" i="6" s="1"/>
  <c r="F229" i="6"/>
  <c r="F232" i="6"/>
  <c r="F233" i="6"/>
  <c r="F234" i="6"/>
  <c r="H234" i="6" s="1"/>
  <c r="F235" i="6"/>
  <c r="I235" i="6" s="1"/>
  <c r="F236" i="6"/>
  <c r="I236" i="6" s="1"/>
  <c r="F239" i="6"/>
  <c r="F240" i="6"/>
  <c r="F241" i="6"/>
  <c r="I241" i="6" s="1"/>
  <c r="F242" i="6"/>
  <c r="F243" i="6"/>
  <c r="I243" i="6" s="1"/>
  <c r="F246" i="6"/>
  <c r="F247" i="6"/>
  <c r="F248" i="6"/>
  <c r="F249" i="6"/>
  <c r="F253" i="6"/>
  <c r="F254" i="6"/>
  <c r="I254" i="6" s="1"/>
  <c r="F255" i="6"/>
  <c r="I255" i="6" s="1"/>
  <c r="F256" i="6"/>
  <c r="F3" i="6"/>
  <c r="F4" i="6"/>
  <c r="F5" i="6"/>
  <c r="I5" i="6" s="1"/>
  <c r="F8" i="6"/>
  <c r="F9" i="6"/>
  <c r="I9" i="6" s="1"/>
  <c r="F10" i="6"/>
  <c r="I10" i="6" s="1"/>
  <c r="F11" i="6"/>
  <c r="F15" i="6"/>
  <c r="H15" i="6" s="1"/>
  <c r="F16" i="6"/>
  <c r="H16" i="6" s="1"/>
  <c r="F17" i="6"/>
  <c r="F18" i="6"/>
  <c r="F23" i="6"/>
  <c r="I23" i="6" s="1"/>
  <c r="F24" i="6"/>
  <c r="I24" i="6" s="1"/>
  <c r="F22" i="6"/>
  <c r="K4" i="6"/>
  <c r="K5" i="6"/>
  <c r="K8" i="6"/>
  <c r="K9" i="6"/>
  <c r="K10" i="6"/>
  <c r="K11" i="6"/>
  <c r="K15" i="6"/>
  <c r="K16" i="6"/>
  <c r="K17" i="6"/>
  <c r="K18" i="6"/>
  <c r="K22" i="6"/>
  <c r="K23" i="6"/>
  <c r="K24" i="6"/>
  <c r="K26" i="6"/>
  <c r="K29" i="6"/>
  <c r="K30" i="6"/>
  <c r="K31" i="6"/>
  <c r="K32" i="6"/>
  <c r="K33" i="6"/>
  <c r="K37" i="6"/>
  <c r="K38" i="6"/>
  <c r="K39" i="6"/>
  <c r="K40" i="6"/>
  <c r="K43" i="6"/>
  <c r="K44" i="6"/>
  <c r="K45" i="6"/>
  <c r="K46" i="6"/>
  <c r="K47" i="6"/>
  <c r="K50" i="6"/>
  <c r="K51" i="6"/>
  <c r="K52" i="6"/>
  <c r="K53" i="6"/>
  <c r="K54" i="6"/>
  <c r="K57" i="6"/>
  <c r="K58" i="6"/>
  <c r="K59" i="6"/>
  <c r="K60" i="6"/>
  <c r="K61" i="6"/>
  <c r="K64" i="6"/>
  <c r="K65" i="6"/>
  <c r="K66" i="6"/>
  <c r="K67" i="6"/>
  <c r="K68" i="6"/>
  <c r="K71" i="6"/>
  <c r="K72" i="6"/>
  <c r="K73" i="6"/>
  <c r="K74" i="6"/>
  <c r="K75" i="6"/>
  <c r="K78" i="6"/>
  <c r="K79" i="6"/>
  <c r="K80" i="6"/>
  <c r="K81" i="6"/>
  <c r="K82" i="6"/>
  <c r="K85" i="6"/>
  <c r="K87" i="6"/>
  <c r="K88" i="6"/>
  <c r="K89" i="6"/>
  <c r="K92" i="6"/>
  <c r="K93" i="6"/>
  <c r="K94" i="6"/>
  <c r="K95" i="6"/>
  <c r="K96" i="6"/>
  <c r="K99" i="6"/>
  <c r="K100" i="6"/>
  <c r="K101" i="6"/>
  <c r="K102" i="6"/>
  <c r="K103" i="6"/>
  <c r="K106" i="6"/>
  <c r="K107" i="6"/>
  <c r="K108" i="6"/>
  <c r="K109" i="6"/>
  <c r="K110" i="6"/>
  <c r="K113" i="6"/>
  <c r="K114" i="6"/>
  <c r="K115" i="6"/>
  <c r="K116" i="6"/>
  <c r="K117" i="6"/>
  <c r="K120" i="6"/>
  <c r="K121" i="6"/>
  <c r="K122" i="6"/>
  <c r="K123" i="6"/>
  <c r="K124" i="6"/>
  <c r="K127" i="6"/>
  <c r="K128" i="6"/>
  <c r="K129" i="6"/>
  <c r="K130" i="6"/>
  <c r="K131" i="6"/>
  <c r="K134" i="6"/>
  <c r="K135" i="6"/>
  <c r="K136" i="6"/>
  <c r="K137" i="6"/>
  <c r="K138" i="6"/>
  <c r="K141" i="6"/>
  <c r="K142" i="6"/>
  <c r="K143" i="6"/>
  <c r="K144" i="6"/>
  <c r="K145" i="6"/>
  <c r="K148" i="6"/>
  <c r="K149" i="6"/>
  <c r="K150" i="6"/>
  <c r="K151" i="6"/>
  <c r="K152" i="6"/>
  <c r="K155" i="6"/>
  <c r="K156" i="6"/>
  <c r="K157" i="6"/>
  <c r="K158" i="6"/>
  <c r="K159" i="6"/>
  <c r="K162" i="6"/>
  <c r="K163" i="6"/>
  <c r="K164" i="6"/>
  <c r="K165" i="6"/>
  <c r="K166" i="6"/>
  <c r="K169" i="6"/>
  <c r="K170" i="6"/>
  <c r="K171" i="6"/>
  <c r="K172" i="6"/>
  <c r="K173" i="6"/>
  <c r="K176" i="6"/>
  <c r="K177" i="6"/>
  <c r="K178" i="6"/>
  <c r="K179" i="6"/>
  <c r="K180" i="6"/>
  <c r="K183" i="6"/>
  <c r="K184" i="6"/>
  <c r="K185" i="6"/>
  <c r="K186" i="6"/>
  <c r="K187" i="6"/>
  <c r="K190" i="6"/>
  <c r="K191" i="6"/>
  <c r="K192" i="6"/>
  <c r="K193" i="6"/>
  <c r="K194" i="6"/>
  <c r="K197" i="6"/>
  <c r="K198" i="6"/>
  <c r="K199" i="6"/>
  <c r="K200" i="6"/>
  <c r="K201" i="6"/>
  <c r="K204" i="6"/>
  <c r="K205" i="6"/>
  <c r="K207" i="6"/>
  <c r="K208" i="6"/>
  <c r="K211" i="6"/>
  <c r="K212" i="6"/>
  <c r="K213" i="6"/>
  <c r="K214" i="6"/>
  <c r="K215" i="6"/>
  <c r="K218" i="6"/>
  <c r="K219" i="6"/>
  <c r="K220" i="6"/>
  <c r="K221" i="6"/>
  <c r="K222" i="6"/>
  <c r="K225" i="6"/>
  <c r="K226" i="6"/>
  <c r="K227" i="6"/>
  <c r="K228" i="6"/>
  <c r="K229" i="6"/>
  <c r="K232" i="6"/>
  <c r="K233" i="6"/>
  <c r="K234" i="6"/>
  <c r="K235" i="6"/>
  <c r="K236" i="6"/>
  <c r="K239" i="6"/>
  <c r="K240" i="6"/>
  <c r="K241" i="6"/>
  <c r="K242" i="6"/>
  <c r="K243" i="6"/>
  <c r="K246" i="6"/>
  <c r="K247" i="6"/>
  <c r="K248" i="6"/>
  <c r="K249" i="6"/>
  <c r="K253" i="6"/>
  <c r="K254" i="6"/>
  <c r="K255" i="6"/>
  <c r="K256" i="6"/>
  <c r="K3" i="6"/>
  <c r="J32" i="6" l="1"/>
  <c r="J31" i="6"/>
  <c r="X29" i="6"/>
  <c r="J30" i="6"/>
  <c r="I226" i="6"/>
  <c r="I73" i="6"/>
  <c r="I165" i="6"/>
  <c r="H29" i="6"/>
  <c r="H106" i="6"/>
  <c r="H37" i="6"/>
  <c r="H218" i="6"/>
  <c r="H127" i="6"/>
  <c r="H80" i="6"/>
  <c r="H193" i="6"/>
  <c r="H171" i="6"/>
  <c r="H31" i="6"/>
  <c r="H33" i="6"/>
  <c r="H149" i="6"/>
  <c r="M204" i="6"/>
  <c r="H152" i="6"/>
  <c r="H130" i="6"/>
  <c r="H108" i="6"/>
  <c r="H11" i="6"/>
  <c r="H242" i="6"/>
  <c r="H151" i="6"/>
  <c r="H38" i="6"/>
  <c r="H194" i="6"/>
  <c r="H60" i="6"/>
  <c r="M8" i="6"/>
  <c r="H4" i="6"/>
  <c r="M239" i="6"/>
  <c r="M148" i="6"/>
  <c r="M57" i="6"/>
  <c r="M3" i="6"/>
  <c r="H26" i="6"/>
  <c r="M211" i="6"/>
  <c r="H135" i="6"/>
  <c r="M120" i="6"/>
  <c r="M36" i="6"/>
  <c r="M15" i="6"/>
  <c r="I22" i="6"/>
  <c r="O22" i="6" s="1"/>
  <c r="L22" i="6"/>
  <c r="I253" i="6"/>
  <c r="L253" i="6"/>
  <c r="I183" i="6"/>
  <c r="L183" i="6"/>
  <c r="N183" i="6" s="1"/>
  <c r="M232" i="6"/>
  <c r="H208" i="6"/>
  <c r="M141" i="6"/>
  <c r="M50" i="6"/>
  <c r="I162" i="6"/>
  <c r="L162" i="6"/>
  <c r="L204" i="6"/>
  <c r="N204" i="6" s="1"/>
  <c r="I92" i="6"/>
  <c r="O92" i="6" s="1"/>
  <c r="L92" i="6"/>
  <c r="N92" i="6" s="1"/>
  <c r="M162" i="6"/>
  <c r="M71" i="6"/>
  <c r="I113" i="6"/>
  <c r="L113" i="6"/>
  <c r="M253" i="6"/>
  <c r="M183" i="6"/>
  <c r="M22" i="6"/>
  <c r="L225" i="6"/>
  <c r="L134" i="6"/>
  <c r="L43" i="6"/>
  <c r="M92" i="6"/>
  <c r="H246" i="6"/>
  <c r="L246" i="6"/>
  <c r="I155" i="6"/>
  <c r="L155" i="6"/>
  <c r="I64" i="6"/>
  <c r="O64" i="6" s="1"/>
  <c r="L64" i="6"/>
  <c r="M113" i="6"/>
  <c r="I176" i="6"/>
  <c r="L176" i="6"/>
  <c r="I85" i="6"/>
  <c r="O85" i="6" s="1"/>
  <c r="L85" i="6"/>
  <c r="M225" i="6"/>
  <c r="M134" i="6"/>
  <c r="M43" i="6"/>
  <c r="H103" i="6"/>
  <c r="I197" i="6"/>
  <c r="L197" i="6"/>
  <c r="M246" i="6"/>
  <c r="N246" i="6" s="1"/>
  <c r="M155" i="6"/>
  <c r="M64" i="6"/>
  <c r="I106" i="6"/>
  <c r="L106" i="6"/>
  <c r="I37" i="6"/>
  <c r="L36" i="6"/>
  <c r="M176" i="6"/>
  <c r="M85" i="6"/>
  <c r="I71" i="6"/>
  <c r="L71" i="6"/>
  <c r="I218" i="6"/>
  <c r="O218" i="6" s="1"/>
  <c r="L218" i="6"/>
  <c r="I127" i="6"/>
  <c r="L127" i="6"/>
  <c r="M197" i="6"/>
  <c r="H8" i="6"/>
  <c r="L8" i="6"/>
  <c r="I239" i="6"/>
  <c r="L239" i="6"/>
  <c r="N239" i="6" s="1"/>
  <c r="L148" i="6"/>
  <c r="N148" i="6" s="1"/>
  <c r="I57" i="6"/>
  <c r="O57" i="6" s="1"/>
  <c r="L57" i="6"/>
  <c r="M106" i="6"/>
  <c r="I169" i="6"/>
  <c r="L169" i="6"/>
  <c r="I78" i="6"/>
  <c r="L78" i="6"/>
  <c r="M218" i="6"/>
  <c r="M127" i="6"/>
  <c r="I190" i="6"/>
  <c r="L190" i="6"/>
  <c r="I3" i="6"/>
  <c r="L3" i="6"/>
  <c r="N3" i="6" s="1"/>
  <c r="I99" i="6"/>
  <c r="L99" i="6"/>
  <c r="N99" i="6" s="1"/>
  <c r="I29" i="6"/>
  <c r="O29" i="6" s="1"/>
  <c r="L29" i="6"/>
  <c r="M169" i="6"/>
  <c r="M78" i="6"/>
  <c r="I211" i="6"/>
  <c r="L211" i="6"/>
  <c r="H142" i="6"/>
  <c r="M190" i="6"/>
  <c r="H233" i="6"/>
  <c r="H186" i="6"/>
  <c r="H164" i="6"/>
  <c r="I120" i="6"/>
  <c r="O120" i="6" s="1"/>
  <c r="L120" i="6"/>
  <c r="H9" i="6"/>
  <c r="I232" i="6"/>
  <c r="L232" i="6"/>
  <c r="L141" i="6"/>
  <c r="N141" i="6" s="1"/>
  <c r="I50" i="6"/>
  <c r="L50" i="6"/>
  <c r="M99" i="6"/>
  <c r="M29" i="6"/>
  <c r="I18" i="6"/>
  <c r="L15" i="6"/>
  <c r="H101" i="6"/>
  <c r="H58" i="6"/>
  <c r="H73" i="6"/>
  <c r="H39" i="6"/>
  <c r="H240" i="6"/>
  <c r="H78" i="6"/>
  <c r="H145" i="6"/>
  <c r="H239" i="6"/>
  <c r="H207" i="6"/>
  <c r="H65" i="6"/>
  <c r="H45" i="6"/>
  <c r="H191" i="6"/>
  <c r="H159" i="6"/>
  <c r="H158" i="6"/>
  <c r="H124" i="6"/>
  <c r="H79" i="6"/>
  <c r="H57" i="6"/>
  <c r="H32" i="6"/>
  <c r="S3" i="6"/>
  <c r="H113" i="6"/>
  <c r="H185" i="6"/>
  <c r="H163" i="6"/>
  <c r="H141" i="6"/>
  <c r="H117" i="6"/>
  <c r="H229" i="6"/>
  <c r="H184" i="6"/>
  <c r="H123" i="6"/>
  <c r="H249" i="6"/>
  <c r="H204" i="6"/>
  <c r="H180" i="6"/>
  <c r="H235" i="6"/>
  <c r="H122" i="6"/>
  <c r="H137" i="6"/>
  <c r="S104" i="6"/>
  <c r="H93" i="6"/>
  <c r="H46" i="6"/>
  <c r="G257" i="6"/>
  <c r="H75" i="6"/>
  <c r="H53" i="6"/>
  <c r="H190" i="6"/>
  <c r="H100" i="6"/>
  <c r="H169" i="6"/>
  <c r="K257" i="6"/>
  <c r="H215" i="6"/>
  <c r="H192" i="6"/>
  <c r="H170" i="6"/>
  <c r="H148" i="6"/>
  <c r="H102" i="6"/>
  <c r="H30" i="6"/>
  <c r="J26" i="6"/>
  <c r="H219" i="6"/>
  <c r="H143" i="6"/>
  <c r="H64" i="6"/>
  <c r="H61" i="6"/>
  <c r="H144" i="6"/>
  <c r="H213" i="6"/>
  <c r="H17" i="6"/>
  <c r="F257" i="6"/>
  <c r="H107" i="6"/>
  <c r="H66" i="6"/>
  <c r="H247" i="6"/>
  <c r="H225" i="6"/>
  <c r="H200" i="6"/>
  <c r="H134" i="6"/>
  <c r="H110" i="6"/>
  <c r="H43" i="6"/>
  <c r="H227" i="6"/>
  <c r="S135" i="6"/>
  <c r="H114" i="6"/>
  <c r="H92" i="6"/>
  <c r="I186" i="6"/>
  <c r="H201" i="6"/>
  <c r="I185" i="6"/>
  <c r="I164" i="6"/>
  <c r="H18" i="6"/>
  <c r="I163" i="6"/>
  <c r="J10" i="6"/>
  <c r="I142" i="6"/>
  <c r="H10" i="6"/>
  <c r="H95" i="6"/>
  <c r="H59" i="6"/>
  <c r="J9" i="6"/>
  <c r="I141" i="6"/>
  <c r="H94" i="6"/>
  <c r="H5" i="6"/>
  <c r="H129" i="6"/>
  <c r="H85" i="6"/>
  <c r="J5" i="6"/>
  <c r="H214" i="6"/>
  <c r="H54" i="6"/>
  <c r="I117" i="6"/>
  <c r="H3" i="6"/>
  <c r="H187" i="6"/>
  <c r="H128" i="6"/>
  <c r="H82" i="6"/>
  <c r="H166" i="6"/>
  <c r="H255" i="6"/>
  <c r="H81" i="6"/>
  <c r="H241" i="6"/>
  <c r="H172" i="6"/>
  <c r="H44" i="6"/>
  <c r="H256" i="6"/>
  <c r="I256" i="6"/>
  <c r="S73" i="6"/>
  <c r="I233" i="6"/>
  <c r="H121" i="6"/>
  <c r="H50" i="6"/>
  <c r="H226" i="6"/>
  <c r="H162" i="6"/>
  <c r="H74" i="6"/>
  <c r="H138" i="6"/>
  <c r="H47" i="6"/>
  <c r="H22" i="6"/>
  <c r="J3" i="6"/>
  <c r="H156" i="6"/>
  <c r="R196" i="6"/>
  <c r="H197" i="6"/>
  <c r="H248" i="6"/>
  <c r="H157" i="6"/>
  <c r="H254" i="6"/>
  <c r="S43" i="6"/>
  <c r="I166" i="6"/>
  <c r="I234" i="6"/>
  <c r="I212" i="6"/>
  <c r="H222" i="6"/>
  <c r="H155" i="6"/>
  <c r="H67" i="6"/>
  <c r="I229" i="6"/>
  <c r="I184" i="6"/>
  <c r="H221" i="6"/>
  <c r="H89" i="6"/>
  <c r="H220" i="6"/>
  <c r="H88" i="6"/>
  <c r="R104" i="6"/>
  <c r="T104" i="6" s="1"/>
  <c r="H243" i="6"/>
  <c r="S196" i="6"/>
  <c r="H131" i="6"/>
  <c r="I249" i="6"/>
  <c r="I204" i="6"/>
  <c r="I180" i="6"/>
  <c r="H87" i="6"/>
  <c r="R73" i="6"/>
  <c r="I248" i="6"/>
  <c r="I157" i="6"/>
  <c r="I135" i="6"/>
  <c r="I17" i="6"/>
  <c r="H178" i="6"/>
  <c r="S165" i="6"/>
  <c r="I247" i="6"/>
  <c r="I225" i="6"/>
  <c r="I200" i="6"/>
  <c r="I134" i="6"/>
  <c r="I110" i="6"/>
  <c r="I43" i="6"/>
  <c r="I16" i="6"/>
  <c r="J16" i="6" s="1"/>
  <c r="H177" i="6"/>
  <c r="I246" i="6"/>
  <c r="I199" i="6"/>
  <c r="I109" i="6"/>
  <c r="I40" i="6"/>
  <c r="I15" i="6"/>
  <c r="J15" i="6" s="1"/>
  <c r="H176" i="6"/>
  <c r="R165" i="6"/>
  <c r="I198" i="6"/>
  <c r="I152" i="6"/>
  <c r="I130" i="6"/>
  <c r="I108" i="6"/>
  <c r="I11" i="6"/>
  <c r="J11" i="6" s="1"/>
  <c r="H173" i="6"/>
  <c r="H120" i="6"/>
  <c r="H52" i="6"/>
  <c r="H236" i="6"/>
  <c r="I242" i="6"/>
  <c r="I151" i="6"/>
  <c r="I38" i="6"/>
  <c r="J24" i="6"/>
  <c r="H232" i="6"/>
  <c r="H96" i="6"/>
  <c r="I150" i="6"/>
  <c r="J23" i="6"/>
  <c r="H116" i="6"/>
  <c r="H72" i="6"/>
  <c r="I240" i="6"/>
  <c r="I80" i="6"/>
  <c r="I8" i="6"/>
  <c r="H253" i="6"/>
  <c r="H228" i="6"/>
  <c r="H205" i="6"/>
  <c r="H183" i="6"/>
  <c r="H71" i="6"/>
  <c r="I215" i="6"/>
  <c r="I192" i="6"/>
  <c r="I170" i="6"/>
  <c r="I148" i="6"/>
  <c r="I102" i="6"/>
  <c r="H198" i="6"/>
  <c r="H136" i="6"/>
  <c r="H68" i="6"/>
  <c r="I214" i="6"/>
  <c r="I54" i="6"/>
  <c r="I4" i="6"/>
  <c r="J4" i="6" s="1"/>
  <c r="H24" i="6"/>
  <c r="S12" i="6"/>
  <c r="H23" i="6"/>
  <c r="S226" i="6"/>
  <c r="H211" i="6"/>
  <c r="H179" i="6"/>
  <c r="H115" i="6"/>
  <c r="H99" i="6"/>
  <c r="H51" i="6"/>
  <c r="R226" i="6"/>
  <c r="R43" i="6"/>
  <c r="H165" i="6"/>
  <c r="R135" i="6"/>
  <c r="R3" i="6"/>
  <c r="R12" i="6"/>
  <c r="J29" i="6" l="1"/>
  <c r="Y29" i="6" s="1"/>
  <c r="T3" i="6"/>
  <c r="O71" i="6"/>
  <c r="N78" i="6"/>
  <c r="P29" i="6"/>
  <c r="Q29" i="6" s="1"/>
  <c r="N50" i="6"/>
  <c r="N57" i="6"/>
  <c r="N36" i="6"/>
  <c r="P113" i="6"/>
  <c r="N232" i="6"/>
  <c r="N190" i="6"/>
  <c r="J22" i="6"/>
  <c r="P22" i="6" s="1"/>
  <c r="Q22" i="6" s="1"/>
  <c r="P106" i="6"/>
  <c r="N8" i="6"/>
  <c r="P190" i="6"/>
  <c r="N127" i="6"/>
  <c r="P169" i="6"/>
  <c r="N113" i="6"/>
  <c r="N120" i="6"/>
  <c r="N162" i="6"/>
  <c r="P253" i="6"/>
  <c r="V73" i="6"/>
  <c r="P99" i="6"/>
  <c r="N211" i="6"/>
  <c r="N169" i="6"/>
  <c r="N85" i="6"/>
  <c r="M257" i="6"/>
  <c r="P162" i="6"/>
  <c r="P127" i="6"/>
  <c r="P50" i="6"/>
  <c r="P204" i="6"/>
  <c r="O204" i="6"/>
  <c r="P92" i="6"/>
  <c r="Q92" i="6" s="1"/>
  <c r="P183" i="6"/>
  <c r="P239" i="6"/>
  <c r="O106" i="6"/>
  <c r="P43" i="6"/>
  <c r="O43" i="6"/>
  <c r="O232" i="6"/>
  <c r="O99" i="6"/>
  <c r="O239" i="6"/>
  <c r="N155" i="6"/>
  <c r="J8" i="6"/>
  <c r="P8" i="6" s="1"/>
  <c r="O8" i="6"/>
  <c r="O155" i="6"/>
  <c r="O3" i="6"/>
  <c r="N197" i="6"/>
  <c r="P211" i="6"/>
  <c r="O190" i="6"/>
  <c r="O197" i="6"/>
  <c r="O162" i="6"/>
  <c r="P225" i="6"/>
  <c r="O225" i="6"/>
  <c r="P176" i="6"/>
  <c r="P120" i="6"/>
  <c r="Q120" i="6" s="1"/>
  <c r="O127" i="6"/>
  <c r="P141" i="6"/>
  <c r="O141" i="6"/>
  <c r="N218" i="6"/>
  <c r="N43" i="6"/>
  <c r="N134" i="6"/>
  <c r="P134" i="6"/>
  <c r="O134" i="6"/>
  <c r="P36" i="6"/>
  <c r="P148" i="6"/>
  <c r="O148" i="6"/>
  <c r="P64" i="6"/>
  <c r="Q64" i="6" s="1"/>
  <c r="L257" i="6"/>
  <c r="O78" i="6"/>
  <c r="N71" i="6"/>
  <c r="N225" i="6"/>
  <c r="P3" i="6"/>
  <c r="P71" i="6"/>
  <c r="Q71" i="6" s="1"/>
  <c r="O15" i="6"/>
  <c r="O211" i="6"/>
  <c r="O169" i="6"/>
  <c r="O183" i="6"/>
  <c r="N176" i="6"/>
  <c r="N253" i="6"/>
  <c r="O176" i="6"/>
  <c r="O253" i="6"/>
  <c r="P57" i="6"/>
  <c r="Q57" i="6" s="1"/>
  <c r="P246" i="6"/>
  <c r="O246" i="6"/>
  <c r="P232" i="6"/>
  <c r="O50" i="6"/>
  <c r="N29" i="6"/>
  <c r="O36" i="6"/>
  <c r="O113" i="6"/>
  <c r="N22" i="6"/>
  <c r="P197" i="6"/>
  <c r="P155" i="6"/>
  <c r="P78" i="6"/>
  <c r="P218" i="6"/>
  <c r="Q218" i="6" s="1"/>
  <c r="N106" i="6"/>
  <c r="N64" i="6"/>
  <c r="N15" i="6"/>
  <c r="J18" i="6"/>
  <c r="T43" i="6"/>
  <c r="U73" i="6"/>
  <c r="U43" i="6"/>
  <c r="R257" i="6"/>
  <c r="V3" i="6"/>
  <c r="T135" i="6"/>
  <c r="H257" i="6"/>
  <c r="S257" i="6"/>
  <c r="T73" i="6"/>
  <c r="J17" i="6"/>
  <c r="I257" i="6"/>
  <c r="U104" i="6"/>
  <c r="U12" i="6"/>
  <c r="V165" i="6"/>
  <c r="T196" i="6"/>
  <c r="T165" i="6"/>
  <c r="T226" i="6"/>
  <c r="U165" i="6"/>
  <c r="U226" i="6"/>
  <c r="U196" i="6"/>
  <c r="U135" i="6"/>
  <c r="U3" i="6"/>
  <c r="T12" i="6"/>
  <c r="Z12" i="6" l="1"/>
  <c r="AB29" i="6"/>
  <c r="AE3" i="6" s="1"/>
  <c r="Q225" i="6"/>
  <c r="Q106" i="6"/>
  <c r="Q43" i="6"/>
  <c r="Q204" i="6"/>
  <c r="Q183" i="6"/>
  <c r="Q113" i="6"/>
  <c r="Q239" i="6"/>
  <c r="Q99" i="6"/>
  <c r="W73" i="6"/>
  <c r="Q148" i="6"/>
  <c r="Q190" i="6"/>
  <c r="P85" i="6"/>
  <c r="Q85" i="6" s="1"/>
  <c r="Q134" i="6"/>
  <c r="Q169" i="6"/>
  <c r="Q3" i="6"/>
  <c r="V135" i="6"/>
  <c r="W135" i="6" s="1"/>
  <c r="Q141" i="6"/>
  <c r="Q127" i="6"/>
  <c r="Q232" i="6"/>
  <c r="Q162" i="6"/>
  <c r="N257" i="6"/>
  <c r="Q78" i="6"/>
  <c r="Q253" i="6"/>
  <c r="V196" i="6"/>
  <c r="W196" i="6" s="1"/>
  <c r="Q197" i="6"/>
  <c r="Q50" i="6"/>
  <c r="V104" i="6"/>
  <c r="W104" i="6" s="1"/>
  <c r="J257" i="6"/>
  <c r="Q246" i="6"/>
  <c r="Q176" i="6"/>
  <c r="V226" i="6"/>
  <c r="W226" i="6" s="1"/>
  <c r="Q211" i="6"/>
  <c r="Q36" i="6"/>
  <c r="V43" i="6"/>
  <c r="W43" i="6" s="1"/>
  <c r="Q155" i="6"/>
  <c r="O257" i="6"/>
  <c r="Q8" i="6"/>
  <c r="P15" i="6"/>
  <c r="W165" i="6"/>
  <c r="W3" i="6"/>
  <c r="U257" i="6"/>
  <c r="T257" i="6"/>
  <c r="V12" i="6"/>
  <c r="P257" i="6" l="1"/>
  <c r="Q15" i="6"/>
  <c r="Q257" i="6" s="1"/>
  <c r="W12" i="6"/>
  <c r="W257" i="6" s="1"/>
  <c r="V257" i="6"/>
  <c r="Y257" i="6" l="1"/>
  <c r="Z3" i="6"/>
  <c r="Z257" i="6" l="1"/>
  <c r="X25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MOUTIER Aurélien (PRESTA EXT)</author>
  </authors>
  <commentList>
    <comment ref="A4" authorId="0" shapeId="0" xr:uid="{7751B39D-B2F7-446D-A690-F3AC88F19DBE}">
      <text>
        <r>
          <rPr>
            <b/>
            <sz val="9"/>
            <color indexed="81"/>
            <rFont val="Tahoma"/>
            <family val="2"/>
          </rPr>
          <t>MOUTIER Aurélien (PRESTA EXT):</t>
        </r>
        <r>
          <rPr>
            <sz val="9"/>
            <color indexed="81"/>
            <rFont val="Tahoma"/>
            <family val="2"/>
          </rPr>
          <t xml:space="preserve">
Se faire accompagner par un avocat pour s'assurer de la cohérence des demandes en fonction des preuves récupérées</t>
        </r>
      </text>
    </comment>
  </commentList>
</comments>
</file>

<file path=xl/sharedStrings.xml><?xml version="1.0" encoding="utf-8"?>
<sst xmlns="http://schemas.openxmlformats.org/spreadsheetml/2006/main" count="140" uniqueCount="100">
  <si>
    <t>Début</t>
  </si>
  <si>
    <t>Fin</t>
  </si>
  <si>
    <t>Jour</t>
  </si>
  <si>
    <t>Ascension</t>
  </si>
  <si>
    <t>Fête du travail</t>
  </si>
  <si>
    <t>Fête de la Victoire</t>
  </si>
  <si>
    <t>Pentecôte</t>
  </si>
  <si>
    <t>Fête Nationale</t>
  </si>
  <si>
    <t>Armistice</t>
  </si>
  <si>
    <t>Noël</t>
  </si>
  <si>
    <t>37h</t>
  </si>
  <si>
    <t>39h</t>
  </si>
  <si>
    <t>Attendu Mois</t>
  </si>
  <si>
    <t>Réel Jour</t>
  </si>
  <si>
    <t>Attendu Jour</t>
  </si>
  <si>
    <t>Réel Mois</t>
  </si>
  <si>
    <t>Hsupp</t>
  </si>
  <si>
    <t>Réel Pointage</t>
  </si>
  <si>
    <t>Demi jour</t>
  </si>
  <si>
    <t>Attendu Semaine</t>
  </si>
  <si>
    <t>Réel Semaine</t>
  </si>
  <si>
    <t>Horaire Brut</t>
  </si>
  <si>
    <t>Maj Hsupp</t>
  </si>
  <si>
    <t>1jr travaillés/sem</t>
  </si>
  <si>
    <t>2jrs travaillés/sem</t>
  </si>
  <si>
    <t>3jrs travaillés/sem</t>
  </si>
  <si>
    <t>4jrs travaillés/sem</t>
  </si>
  <si>
    <t>5jrs travaillés/sem</t>
  </si>
  <si>
    <t>Facturation
Fiche de paie</t>
  </si>
  <si>
    <t>Facturation Heures Supp.</t>
  </si>
  <si>
    <t>Montant/sem</t>
  </si>
  <si>
    <t>Réel/sem</t>
  </si>
  <si>
    <t>Réel Prév. Mois</t>
  </si>
  <si>
    <t>Fin de période d'essai</t>
  </si>
  <si>
    <t>Total</t>
  </si>
  <si>
    <t>Heures/jr</t>
  </si>
  <si>
    <t>Hsupp/jr</t>
  </si>
  <si>
    <t>Pointage horaires</t>
  </si>
  <si>
    <t>Réel jour</t>
  </si>
  <si>
    <t>09:30-11:30</t>
  </si>
  <si>
    <t>14:00-16:00</t>
  </si>
  <si>
    <t>Arguments pour paiement heures supplémentaires</t>
  </si>
  <si>
    <t>Horaires obligatoires client</t>
  </si>
  <si>
    <t>Nombre d'heures</t>
  </si>
  <si>
    <t>Pièces à récupérer</t>
  </si>
  <si>
    <t>Actions à mener</t>
  </si>
  <si>
    <t>Heures Supp. mensuelles</t>
  </si>
  <si>
    <t>Montant estimé</t>
  </si>
  <si>
    <t>Objet du conflit</t>
  </si>
  <si>
    <t xml:space="preserve"> - Envoi d'un mail de rupture de période d'essai au Manager avec la RH en copie (Répondre aux appels par mails - gmail)</t>
  </si>
  <si>
    <t xml:space="preserve"> - Attendre la fin de la rupture de période d'essai et envoi d'un mail pour le paiement des heures supplémentaires effectuées (envoi depuis la gmail)</t>
  </si>
  <si>
    <t xml:space="preserve"> - En cas de refus, envoi du second mail plus ferme à l'attention de la RH</t>
  </si>
  <si>
    <t xml:space="preserve"> - Si l'employeur reste sur sa position, saisir les prud'hommes avec l'assistance d'un avocat</t>
  </si>
  <si>
    <t xml:space="preserve"> - Fichier reprenant les pointages journaliers</t>
  </si>
  <si>
    <t xml:space="preserve"> - Mail du Manager sur la confirmation de paiement des heures supplémentaires</t>
  </si>
  <si>
    <t xml:space="preserve"> - Mail de la RH refusant l'avenant au contrat</t>
  </si>
  <si>
    <t xml:space="preserve"> - Exports mensuels des travaux exceptionnels</t>
  </si>
  <si>
    <t xml:space="preserve"> - Contrat de travail</t>
  </si>
  <si>
    <t xml:space="preserve"> - L'ESN ne souhaite pas payer plus de deux heures supplémentaires par semaine (souhait du client) au Salarié</t>
  </si>
  <si>
    <t xml:space="preserve"> - Le Salarié souhaite que les heures supplémentaires réellement effectuées soient payées par l'employeur dans la limite fixée par la convention Syntec</t>
  </si>
  <si>
    <t xml:space="preserve"> - Le Salarié remonte à l'employeur une incohérence entre le contrat signé (37h) et les exigences du client (39h) et formule sa volonté de régulariser la situation dès les premiers jours de travail</t>
  </si>
  <si>
    <t xml:space="preserve"> - Le Salarié dispose d'un mail et d'un SMS du Manager informant que le paiement d'heures supplémentaires va être mis en place et que le contrat actuel est conservé en l'état</t>
  </si>
  <si>
    <t xml:space="preserve"> - Le Salarié a demandé, par mail, si un nombre d'heures fixes était prévu par semaine - Pas de réponse RH et Manager</t>
  </si>
  <si>
    <t xml:space="preserve"> - Le Salarié a demandé, par mail, de formaliser le nombre d'heures supplémentaires par semaine - Refus de la RH et souhait de rester sur le contrat initial</t>
  </si>
  <si>
    <t xml:space="preserve"> - Le Salarié a saisi dans les jours suivants la réception de la procédure de déclaration d'heures supplémentaires, reçue par mail, sur l'intranet de l'ESN</t>
  </si>
  <si>
    <t xml:space="preserve"> - Le Salarié dispose d'un fichier Excel reprenant les horaires de travail journalier chez le client</t>
  </si>
  <si>
    <t xml:space="preserve"> - Le Salarié remonte par mail un délai anormal pour le paiement des heures supplémentaires (+ 2 mois) - Réponse RH : Il s'agit du fonctionnement interne</t>
  </si>
  <si>
    <t xml:space="preserve"> - Le Salarié ne dépasse par le nombre d'heures supplémentaires limite fixé par la convention Syntec (220h/an)</t>
  </si>
  <si>
    <t xml:space="preserve"> - Mail du Salarié retraçant les échanges téléphoniques avec le Manager</t>
  </si>
  <si>
    <t>ESN</t>
  </si>
  <si>
    <t>MCA GROUPE</t>
  </si>
  <si>
    <t>Manager</t>
  </si>
  <si>
    <t>Salarié</t>
  </si>
  <si>
    <t>RH</t>
  </si>
  <si>
    <t>Virginie CABEL</t>
  </si>
  <si>
    <t>Aurélien MOUTIER</t>
  </si>
  <si>
    <t>Nicolas GRUBER</t>
  </si>
  <si>
    <t>Parties engagées</t>
  </si>
  <si>
    <t>Chronologie</t>
  </si>
  <si>
    <t xml:space="preserve"> - Signature du contrat 37h dans les locaux de MCA GROUPE avec Nicolas GRUBER et Aurélien MOUTIER</t>
  </si>
  <si>
    <t xml:space="preserve"> - Démarrage de la mission chez le client Euro Information
 - Présentation de la société et de la mission par le responsable Euro Information (évocation des 39h)
 - Envoi d'un mail au Manager pour indiquer l'irrégularité entre le contrat 37h et le souhait client à 39h
 - Appel du Manager et proposition de faire 37h et de déclarer 39h au client - Refus du Salarié</t>
  </si>
  <si>
    <t xml:space="preserve"> - Le Manager envoie un mail et un SMS au Salarié pour l'informer que le paiement des heures supplémentaires sera appliqué pour traiter la problématique des 39h 
 - Le Salarié envoie un mail à la RH pour obtenir : le nombre d'heures fixes hebdomadaires, les modalités de rémunération, la mise en place d'un avenant pour la mise en conformité du contrat
 - La RH répond au mail en indiquant que le contrat reste en l'état et ne nécessite pas d'avenant</t>
  </si>
  <si>
    <t xml:space="preserve"> - Si l'ESN ne souhaite pas d'accord à l'amiable sur le sujet, le Salarié lancera une action en justice aux prud'hommes dans le but :
      - De se faire payer la totalité des heures supplémentaires effectuées
      - De demander des dommages et intérêts
      - De prouver une notion de travail dissimulé
      - De faire valoir les intérêts légaux en fonction de la date de paiement des heures supplémentaires
      - De demander un remboursement de frais de procédure</t>
  </si>
  <si>
    <t xml:space="preserve"> - Point de synchronisation entre le Manager et la RH pour proposer une solution de régularisation
 - Le Manager tente de contacter le Salarié par téléphone, sans succès - Pas de message laissé</t>
  </si>
  <si>
    <t xml:space="preserve"> - Le Salarié reprend contact avec le Manager pour avoir les informations échangées avec la RH
 - Lors de l'échange téléphonique, le Manager propose de basculer le Salarié en forfait jour
 - Le Salarié prend note, s'informe sur les modalités du forfait jour et refuse au motif d'une incompatibilité (horaires obligatoires imposés par le client avec la liberté de gestion des horaires en forfait jour)
 - Le Salarié trace dans un mail les différents échanges sur le sujet en mettant le Manager en copie
 - Le Salarié indique dans son mail qu'il reste ouvert pour trouver une solution de régularisation</t>
  </si>
  <si>
    <t xml:space="preserve"> - Le Salarié reprend contact avec les recruteurs consultés en début d'année car :
     - Les valeurs de l'ESN ne correspondent pas avec les valeurs du salarié
     - La mission ne correspond pas à ses attentes</t>
  </si>
  <si>
    <t>xx/xx/xx</t>
  </si>
  <si>
    <t xml:space="preserve"> - Le Manager répond….</t>
  </si>
  <si>
    <t>…</t>
  </si>
  <si>
    <r>
      <t xml:space="preserve"> - Le Salarié envoie un mail au Manager, avec la RH en copie, pour demander le paiement des heures supplémentaires réellement effectuées. Soit </t>
    </r>
    <r>
      <rPr>
        <i/>
        <sz val="11"/>
        <color rgb="FFFF0000"/>
        <rFont val="Calibri"/>
        <family val="2"/>
        <scheme val="minor"/>
      </rPr>
      <t>xx</t>
    </r>
    <r>
      <rPr>
        <sz val="11"/>
        <color theme="1"/>
        <rFont val="Calibri"/>
        <family val="2"/>
        <scheme val="minor"/>
      </rPr>
      <t xml:space="preserve"> heures supplémentaires pour un montant estimatif de </t>
    </r>
    <r>
      <rPr>
        <i/>
        <sz val="11"/>
        <color rgb="FFFF0000"/>
        <rFont val="Calibri"/>
        <family val="2"/>
        <scheme val="minor"/>
      </rPr>
      <t>xxx,xx</t>
    </r>
    <r>
      <rPr>
        <sz val="11"/>
        <color rgb="FFFF0000"/>
        <rFont val="Calibri"/>
        <family val="2"/>
        <scheme val="minor"/>
      </rPr>
      <t xml:space="preserve"> </t>
    </r>
    <r>
      <rPr>
        <sz val="11"/>
        <rFont val="Calibri"/>
        <family val="2"/>
        <scheme val="minor"/>
      </rPr>
      <t>€</t>
    </r>
  </si>
  <si>
    <r>
      <t xml:space="preserve"> - Le Salarié demande la rupture de la période d'essai par </t>
    </r>
    <r>
      <rPr>
        <i/>
        <sz val="11"/>
        <color rgb="FFFF0000"/>
        <rFont val="Calibri"/>
        <family val="2"/>
        <scheme val="minor"/>
      </rPr>
      <t>[courrier/mail]</t>
    </r>
    <r>
      <rPr>
        <sz val="11"/>
        <color theme="1"/>
        <rFont val="Calibri"/>
        <family val="2"/>
        <scheme val="minor"/>
      </rPr>
      <t xml:space="preserve"> avec une date effective au </t>
    </r>
    <r>
      <rPr>
        <i/>
        <sz val="11"/>
        <color rgb="FFFF0000"/>
        <rFont val="Calibri"/>
        <family val="2"/>
        <scheme val="minor"/>
      </rPr>
      <t>xx/xx/xx</t>
    </r>
  </si>
  <si>
    <t>Différence</t>
  </si>
  <si>
    <t>Semaine</t>
  </si>
  <si>
    <t>GitHub</t>
  </si>
  <si>
    <t>Papier</t>
  </si>
  <si>
    <t>Gmail</t>
  </si>
  <si>
    <t>Résumé</t>
  </si>
  <si>
    <r>
      <rPr>
        <u/>
        <sz val="11"/>
        <color theme="1"/>
        <rFont val="Calibri"/>
        <family val="2"/>
        <scheme val="minor"/>
      </rPr>
      <t>EMPLOYEUR</t>
    </r>
    <r>
      <rPr>
        <sz val="11"/>
        <color theme="1"/>
        <rFont val="Calibri"/>
        <family val="2"/>
        <scheme val="minor"/>
      </rPr>
      <t xml:space="preserve">
L'employeur est en défaut sur le contrat proposé au salarié vis à vis de la mission (signature d'un contrat de 37h pour une mission de 39h).
L'employeur ne respecte pas les limites contractuelles de mon contrat en refusant de payer les heures supplémentaires réellement effecutées.
L'employeur ne respecte pas non plus le délai légal de paiement des heures supplémentaires en imposant un délai de deux mois.
L'employeur donne des directives qui vont à l'encontre de la nature du contrat("Déclarer 39h et faire 37h, le client ne vérifie pas", forfait contrat jour avec horaires obligatoires).
L'employeur ne suit pas réellement les heures de travail effectuées ("Tu ne dois pas déclarer plus de deux heures supplémentaires par semaines")</t>
    </r>
  </si>
  <si>
    <r>
      <rPr>
        <u/>
        <sz val="11"/>
        <color theme="1"/>
        <rFont val="Calibri"/>
        <family val="2"/>
        <scheme val="minor"/>
      </rPr>
      <t>SALARIE</t>
    </r>
    <r>
      <rPr>
        <sz val="11"/>
        <color theme="1"/>
        <rFont val="Calibri"/>
        <family val="2"/>
        <scheme val="minor"/>
      </rPr>
      <t xml:space="preserve">
Le salarié est de bonne foi en remontant l'irrégularité contractuelle et cherchant une solution pour la mettre en conformité.
Le salarié prévient l'employeur que la solution de bascule en forfait jour est incompatible avec les horaires de présence obligatoires imposées par le client.
Le salarié demande de contractualiser les deux heures supplémentaires via un avenant, refusé par l'employeur.
Le salarié met fin à sa période d'essai en respectant le délai de convenance de 48h car la mission ne correspond pas à ses attentes.
Le salarié ne se rapproche pas de son ESN actuelle pour la prochaine mission compte tenu des défauts contractuels ayant eu lieu.
Le salarié envoie un courrier négociation à l'amiable à l'employeur pour le paiement des heures supplémentaires en demandant un réponse dans un délai convenable (15 jours). Des compensations pour les manquements ayant eu lieu tout au long de sa mission sont également demandées.</t>
    </r>
  </si>
  <si>
    <t xml:space="preserve"> - Le Manager téléphone au Salarié pour lui demander de ne pas saisir plus de deux heures supplémentaires par semaine
 - Le Manager indique au Salarié que la rectification des heures supplémentaires n'est pas urgente compte tenu du délai de deux mois pour paiement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</si>
</sst>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h]:mm"/>
    <numFmt numFmtId="165" formatCode="#,##0.0000\ &quot;€&quot;"/>
    <numFmt numFmtId="166" formatCode="#,##0.00\ &quot;€&quot;"/>
    <numFmt numFmtId="167" formatCode="0.0000"/>
  </numFmts>
  <fonts count="10" x14ac:knownFonts="1">
    <font>
      <sz val="11"/>
      <color theme="1"/>
      <name val="Calibri"/>
      <family val="2"/>
      <scheme val="minor"/>
    </font>
    <font>
      <b/>
      <sz val="11"/>
      <color theme="1"/>
      <name val="Calibri"/>
      <family val="2"/>
      <scheme val="minor"/>
    </font>
    <font>
      <i/>
      <sz val="11"/>
      <color theme="1"/>
      <name val="Calibri"/>
      <family val="2"/>
      <scheme val="minor"/>
    </font>
    <font>
      <sz val="11"/>
      <color rgb="FFFF0000"/>
      <name val="Calibri"/>
      <family val="2"/>
      <scheme val="minor"/>
    </font>
    <font>
      <sz val="11"/>
      <name val="Calibri"/>
      <family val="2"/>
      <scheme val="minor"/>
    </font>
    <font>
      <b/>
      <sz val="11"/>
      <color rgb="FFFF0000"/>
      <name val="Calibri"/>
      <family val="2"/>
      <scheme val="minor"/>
    </font>
    <font>
      <sz val="9"/>
      <color indexed="81"/>
      <name val="Tahoma"/>
      <family val="2"/>
    </font>
    <font>
      <b/>
      <sz val="9"/>
      <color indexed="81"/>
      <name val="Tahoma"/>
      <family val="2"/>
    </font>
    <font>
      <i/>
      <sz val="11"/>
      <color rgb="FFFF0000"/>
      <name val="Calibri"/>
      <family val="2"/>
      <scheme val="minor"/>
    </font>
    <font>
      <u/>
      <sz val="11"/>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dotted">
        <color indexed="64"/>
      </right>
      <top style="thin">
        <color indexed="64"/>
      </top>
      <bottom/>
      <diagonal/>
    </border>
    <border>
      <left style="thin">
        <color indexed="64"/>
      </left>
      <right style="dotted">
        <color indexed="64"/>
      </right>
      <top/>
      <bottom/>
      <diagonal/>
    </border>
    <border>
      <left style="thin">
        <color indexed="64"/>
      </left>
      <right style="dotted">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style="dotted">
        <color indexed="64"/>
      </right>
      <top style="thin">
        <color indexed="64"/>
      </top>
      <bottom/>
      <diagonal/>
    </border>
    <border>
      <left/>
      <right style="dotted">
        <color indexed="64"/>
      </right>
      <top/>
      <bottom/>
      <diagonal/>
    </border>
    <border>
      <left/>
      <right style="dotted">
        <color indexed="64"/>
      </right>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top/>
      <bottom/>
      <diagonal/>
    </border>
    <border>
      <left style="dotted">
        <color indexed="64"/>
      </left>
      <right/>
      <top/>
      <bottom style="thin">
        <color indexed="64"/>
      </bottom>
      <diagonal/>
    </border>
    <border>
      <left style="dotted">
        <color indexed="64"/>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dotted">
        <color indexed="64"/>
      </right>
      <top style="thin">
        <color indexed="64"/>
      </top>
      <bottom style="thin">
        <color indexed="64"/>
      </bottom>
      <diagonal/>
    </border>
  </borders>
  <cellStyleXfs count="1">
    <xf numFmtId="0" fontId="0" fillId="0" borderId="0"/>
  </cellStyleXfs>
  <cellXfs count="243">
    <xf numFmtId="0" fontId="0" fillId="0" borderId="0" xfId="0"/>
    <xf numFmtId="0" fontId="0" fillId="2" borderId="3" xfId="0" applyFill="1" applyBorder="1" applyAlignment="1">
      <alignment horizontal="center"/>
    </xf>
    <xf numFmtId="0" fontId="0" fillId="2" borderId="4"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164" fontId="0" fillId="0" borderId="15" xfId="0" applyNumberFormat="1" applyBorder="1" applyAlignment="1">
      <alignment horizontal="center"/>
    </xf>
    <xf numFmtId="164" fontId="0" fillId="0" borderId="2" xfId="0" applyNumberFormat="1" applyBorder="1" applyAlignment="1">
      <alignment horizontal="center"/>
    </xf>
    <xf numFmtId="164" fontId="0" fillId="0" borderId="5" xfId="0" applyNumberFormat="1" applyBorder="1" applyAlignment="1">
      <alignment horizontal="center"/>
    </xf>
    <xf numFmtId="164" fontId="0" fillId="0" borderId="16" xfId="0" applyNumberFormat="1" applyBorder="1" applyAlignment="1">
      <alignment horizontal="center"/>
    </xf>
    <xf numFmtId="164" fontId="0" fillId="0" borderId="3" xfId="0" applyNumberFormat="1" applyBorder="1" applyAlignment="1">
      <alignment horizontal="center"/>
    </xf>
    <xf numFmtId="164" fontId="0" fillId="0" borderId="6" xfId="0" applyNumberFormat="1" applyBorder="1" applyAlignment="1">
      <alignment horizontal="center"/>
    </xf>
    <xf numFmtId="164" fontId="0" fillId="0" borderId="7" xfId="0" applyNumberFormat="1" applyBorder="1" applyAlignment="1">
      <alignment horizontal="center"/>
    </xf>
    <xf numFmtId="164" fontId="0" fillId="0" borderId="4" xfId="0" applyNumberFormat="1" applyBorder="1" applyAlignment="1">
      <alignment horizontal="center"/>
    </xf>
    <xf numFmtId="14" fontId="0" fillId="0" borderId="8" xfId="0" applyNumberFormat="1" applyFont="1" applyBorder="1" applyAlignment="1">
      <alignment horizontal="center"/>
    </xf>
    <xf numFmtId="14" fontId="0" fillId="0" borderId="9" xfId="0" applyNumberFormat="1" applyFont="1" applyBorder="1" applyAlignment="1">
      <alignment horizontal="center"/>
    </xf>
    <xf numFmtId="14" fontId="0" fillId="0" borderId="10" xfId="0" applyNumberFormat="1" applyFont="1" applyBorder="1" applyAlignment="1">
      <alignment horizontal="center"/>
    </xf>
    <xf numFmtId="14" fontId="0" fillId="2" borderId="9" xfId="0" applyNumberFormat="1" applyFont="1" applyFill="1" applyBorder="1" applyAlignment="1">
      <alignment horizontal="center"/>
    </xf>
    <xf numFmtId="14" fontId="0" fillId="2" borderId="10" xfId="0" applyNumberFormat="1" applyFont="1" applyFill="1" applyBorder="1" applyAlignment="1">
      <alignment horizontal="center"/>
    </xf>
    <xf numFmtId="14" fontId="0" fillId="2" borderId="8" xfId="0" applyNumberFormat="1" applyFont="1" applyFill="1" applyBorder="1" applyAlignment="1">
      <alignment horizontal="center"/>
    </xf>
    <xf numFmtId="164" fontId="0" fillId="2" borderId="6" xfId="0" applyNumberFormat="1" applyFill="1" applyBorder="1" applyAlignment="1">
      <alignment horizontal="center"/>
    </xf>
    <xf numFmtId="164" fontId="0" fillId="2" borderId="3" xfId="0" applyNumberFormat="1" applyFill="1" applyBorder="1" applyAlignment="1">
      <alignment horizontal="center"/>
    </xf>
    <xf numFmtId="164" fontId="1" fillId="0" borderId="11" xfId="0" applyNumberFormat="1" applyFont="1" applyBorder="1" applyAlignment="1">
      <alignment horizontal="center"/>
    </xf>
    <xf numFmtId="164" fontId="0" fillId="0" borderId="22" xfId="0" applyNumberFormat="1" applyBorder="1" applyAlignment="1">
      <alignment horizontal="center" vertical="center"/>
    </xf>
    <xf numFmtId="164" fontId="0" fillId="0" borderId="23" xfId="0" applyNumberFormat="1" applyBorder="1" applyAlignment="1">
      <alignment horizontal="center" vertical="center"/>
    </xf>
    <xf numFmtId="164" fontId="0" fillId="0" borderId="21" xfId="0" applyNumberFormat="1" applyBorder="1" applyAlignment="1">
      <alignment horizontal="center" vertical="center"/>
    </xf>
    <xf numFmtId="164" fontId="0" fillId="2" borderId="14" xfId="0" applyNumberFormat="1" applyFill="1" applyBorder="1" applyAlignment="1">
      <alignment horizontal="center" vertical="center"/>
    </xf>
    <xf numFmtId="164" fontId="0" fillId="0" borderId="0" xfId="0" applyNumberFormat="1" applyAlignment="1">
      <alignment horizontal="center"/>
    </xf>
    <xf numFmtId="164" fontId="0" fillId="0" borderId="0" xfId="0" applyNumberFormat="1" applyAlignment="1">
      <alignment horizontal="center" vertical="center"/>
    </xf>
    <xf numFmtId="0" fontId="0" fillId="0" borderId="0" xfId="0" applyNumberFormat="1"/>
    <xf numFmtId="0" fontId="0" fillId="0" borderId="1" xfId="0" applyBorder="1"/>
    <xf numFmtId="0" fontId="0" fillId="0" borderId="0" xfId="0" applyAlignment="1">
      <alignment horizontal="center" vertical="center"/>
    </xf>
    <xf numFmtId="164" fontId="0" fillId="0" borderId="5" xfId="0" applyNumberFormat="1" applyBorder="1" applyAlignment="1">
      <alignment horizontal="center" vertical="center"/>
    </xf>
    <xf numFmtId="164" fontId="0" fillId="0" borderId="18" xfId="0" applyNumberFormat="1" applyBorder="1" applyAlignment="1">
      <alignment horizontal="center" vertical="center"/>
    </xf>
    <xf numFmtId="164" fontId="0" fillId="0" borderId="6" xfId="0" applyNumberFormat="1" applyBorder="1" applyAlignment="1">
      <alignment horizontal="center" vertical="center"/>
    </xf>
    <xf numFmtId="164" fontId="0" fillId="0" borderId="19" xfId="0" applyNumberFormat="1" applyBorder="1" applyAlignment="1">
      <alignment horizontal="center" vertical="center"/>
    </xf>
    <xf numFmtId="164" fontId="0" fillId="0" borderId="7" xfId="0" applyNumberFormat="1" applyBorder="1" applyAlignment="1">
      <alignment horizontal="center" vertical="center"/>
    </xf>
    <xf numFmtId="164" fontId="0" fillId="0" borderId="20" xfId="0" applyNumberFormat="1" applyBorder="1" applyAlignment="1">
      <alignment horizontal="center" vertical="center"/>
    </xf>
    <xf numFmtId="164" fontId="0" fillId="2" borderId="6" xfId="0" applyNumberFormat="1" applyFill="1" applyBorder="1" applyAlignment="1">
      <alignment horizontal="center" vertical="center"/>
    </xf>
    <xf numFmtId="164" fontId="0" fillId="2" borderId="19" xfId="0" applyNumberFormat="1" applyFill="1" applyBorder="1" applyAlignment="1">
      <alignment horizontal="center" vertical="center"/>
    </xf>
    <xf numFmtId="164" fontId="0" fillId="2" borderId="23" xfId="0" applyNumberFormat="1" applyFill="1" applyBorder="1" applyAlignment="1">
      <alignment horizontal="center" vertical="center"/>
    </xf>
    <xf numFmtId="164" fontId="0" fillId="2" borderId="7" xfId="0" applyNumberFormat="1" applyFill="1" applyBorder="1" applyAlignment="1">
      <alignment horizontal="center" vertical="center"/>
    </xf>
    <xf numFmtId="164" fontId="0" fillId="2" borderId="20" xfId="0" applyNumberFormat="1" applyFill="1" applyBorder="1" applyAlignment="1">
      <alignment horizontal="center" vertical="center"/>
    </xf>
    <xf numFmtId="164" fontId="0" fillId="2" borderId="21" xfId="0" applyNumberFormat="1" applyFill="1" applyBorder="1" applyAlignment="1">
      <alignment horizontal="center" vertical="center"/>
    </xf>
    <xf numFmtId="164" fontId="0" fillId="2" borderId="18" xfId="0" applyNumberFormat="1" applyFill="1" applyBorder="1" applyAlignment="1">
      <alignment horizontal="center" vertical="center"/>
    </xf>
    <xf numFmtId="164" fontId="0" fillId="2" borderId="5" xfId="0" applyNumberFormat="1" applyFill="1" applyBorder="1" applyAlignment="1">
      <alignment horizontal="center" vertical="center"/>
    </xf>
    <xf numFmtId="164" fontId="0" fillId="0" borderId="6" xfId="0" applyNumberFormat="1" applyFill="1" applyBorder="1" applyAlignment="1">
      <alignment horizontal="center" vertical="center"/>
    </xf>
    <xf numFmtId="164" fontId="0" fillId="0" borderId="19" xfId="0" applyNumberFormat="1" applyFill="1" applyBorder="1" applyAlignment="1">
      <alignment horizontal="center" vertical="center"/>
    </xf>
    <xf numFmtId="164" fontId="0" fillId="0" borderId="23" xfId="0" applyNumberFormat="1" applyFill="1" applyBorder="1" applyAlignment="1">
      <alignment horizontal="center" vertical="center"/>
    </xf>
    <xf numFmtId="0" fontId="0" fillId="4" borderId="1" xfId="0" applyFill="1" applyBorder="1" applyAlignment="1">
      <alignment horizontal="center" vertical="center"/>
    </xf>
    <xf numFmtId="0" fontId="0" fillId="3" borderId="1" xfId="0" applyFill="1" applyBorder="1" applyAlignment="1">
      <alignment horizontal="center" vertical="center"/>
    </xf>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2" fillId="4" borderId="1" xfId="0" applyFont="1" applyFill="1" applyBorder="1" applyAlignment="1">
      <alignment horizontal="center"/>
    </xf>
    <xf numFmtId="0" fontId="2" fillId="4" borderId="1" xfId="0" applyFont="1" applyFill="1" applyBorder="1" applyAlignment="1">
      <alignment horizontal="center" vertical="center"/>
    </xf>
    <xf numFmtId="164" fontId="0" fillId="2" borderId="28" xfId="0" applyNumberFormat="1" applyFill="1" applyBorder="1" applyAlignment="1">
      <alignment horizontal="center" vertical="center"/>
    </xf>
    <xf numFmtId="164" fontId="0" fillId="2" borderId="26" xfId="0" applyNumberFormat="1" applyFill="1" applyBorder="1" applyAlignment="1">
      <alignment horizontal="center" vertical="center"/>
    </xf>
    <xf numFmtId="164" fontId="0" fillId="2" borderId="27" xfId="0" applyNumberFormat="1" applyFill="1" applyBorder="1" applyAlignment="1">
      <alignment horizontal="center" vertical="center"/>
    </xf>
    <xf numFmtId="0" fontId="2" fillId="4" borderId="11" xfId="0" applyFont="1" applyFill="1" applyBorder="1" applyAlignment="1">
      <alignment horizontal="center" vertical="center"/>
    </xf>
    <xf numFmtId="164" fontId="0" fillId="0" borderId="28" xfId="0" applyNumberFormat="1" applyBorder="1" applyAlignment="1">
      <alignment horizontal="center" vertical="center"/>
    </xf>
    <xf numFmtId="164" fontId="0" fillId="0" borderId="26" xfId="0" applyNumberFormat="1" applyBorder="1" applyAlignment="1">
      <alignment horizontal="center" vertical="center"/>
    </xf>
    <xf numFmtId="164" fontId="0" fillId="0" borderId="26" xfId="0" applyNumberFormat="1" applyFill="1" applyBorder="1" applyAlignment="1">
      <alignment horizontal="center" vertical="center"/>
    </xf>
    <xf numFmtId="164" fontId="0" fillId="0" borderId="27" xfId="0" applyNumberFormat="1" applyBorder="1" applyAlignment="1">
      <alignment horizontal="center" vertical="center"/>
    </xf>
    <xf numFmtId="164" fontId="1" fillId="0" borderId="25" xfId="0" applyNumberFormat="1" applyFont="1" applyBorder="1" applyAlignment="1">
      <alignment horizontal="center"/>
    </xf>
    <xf numFmtId="164" fontId="1" fillId="0" borderId="12" xfId="0" applyNumberFormat="1" applyFont="1" applyBorder="1" applyAlignment="1">
      <alignment horizontal="center"/>
    </xf>
    <xf numFmtId="164" fontId="1" fillId="0" borderId="24" xfId="0" applyNumberFormat="1" applyFont="1" applyBorder="1" applyAlignment="1">
      <alignment horizontal="center"/>
    </xf>
    <xf numFmtId="164" fontId="1" fillId="0" borderId="14" xfId="0" applyNumberFormat="1" applyFont="1" applyBorder="1" applyAlignment="1">
      <alignment horizontal="center"/>
    </xf>
    <xf numFmtId="164" fontId="0" fillId="2" borderId="25" xfId="0" applyNumberFormat="1" applyFill="1" applyBorder="1" applyAlignment="1">
      <alignment horizontal="center" vertical="center"/>
    </xf>
    <xf numFmtId="0" fontId="2" fillId="3" borderId="11" xfId="0" applyFont="1" applyFill="1" applyBorder="1" applyAlignment="1">
      <alignment horizontal="center" vertical="center"/>
    </xf>
    <xf numFmtId="0" fontId="2" fillId="3" borderId="11" xfId="0" applyFont="1" applyFill="1" applyBorder="1" applyAlignment="1">
      <alignment horizontal="center"/>
    </xf>
    <xf numFmtId="0" fontId="2" fillId="3" borderId="13" xfId="0" applyFont="1" applyFill="1" applyBorder="1" applyAlignment="1">
      <alignment horizontal="center"/>
    </xf>
    <xf numFmtId="0" fontId="3" fillId="0" borderId="0" xfId="0" applyFont="1"/>
    <xf numFmtId="0" fontId="0" fillId="2" borderId="1" xfId="0" applyNumberFormat="1" applyFill="1" applyBorder="1" applyAlignment="1">
      <alignment horizontal="center" vertical="center"/>
    </xf>
    <xf numFmtId="0" fontId="0" fillId="2" borderId="1" xfId="0" applyFill="1" applyBorder="1" applyAlignment="1">
      <alignment horizontal="center" vertical="center"/>
    </xf>
    <xf numFmtId="165" fontId="0" fillId="0" borderId="11" xfId="0" applyNumberFormat="1" applyBorder="1" applyAlignment="1">
      <alignment horizontal="center" vertical="center"/>
    </xf>
    <xf numFmtId="165" fontId="1" fillId="0" borderId="1" xfId="0" applyNumberFormat="1" applyFont="1" applyBorder="1" applyAlignment="1">
      <alignment horizontal="center"/>
    </xf>
    <xf numFmtId="0" fontId="4" fillId="0" borderId="0" xfId="0" applyFont="1"/>
    <xf numFmtId="165" fontId="4" fillId="0" borderId="11" xfId="0" applyNumberFormat="1" applyFont="1" applyBorder="1" applyAlignment="1">
      <alignment horizontal="center" vertical="center"/>
    </xf>
    <xf numFmtId="165" fontId="0" fillId="0" borderId="0" xfId="0" applyNumberFormat="1"/>
    <xf numFmtId="165" fontId="0" fillId="0" borderId="12" xfId="0" applyNumberFormat="1" applyBorder="1"/>
    <xf numFmtId="0" fontId="0" fillId="0" borderId="12" xfId="0" applyBorder="1" applyAlignment="1">
      <alignment horizontal="center" vertical="center"/>
    </xf>
    <xf numFmtId="165" fontId="1" fillId="0" borderId="13" xfId="0" applyNumberFormat="1" applyFont="1" applyBorder="1" applyAlignment="1">
      <alignment horizontal="center"/>
    </xf>
    <xf numFmtId="14" fontId="3" fillId="2" borderId="9" xfId="0" applyNumberFormat="1" applyFont="1" applyFill="1" applyBorder="1" applyAlignment="1">
      <alignment horizontal="center"/>
    </xf>
    <xf numFmtId="0" fontId="3" fillId="2" borderId="6" xfId="0" applyFont="1" applyFill="1" applyBorder="1" applyAlignment="1">
      <alignment horizontal="center"/>
    </xf>
    <xf numFmtId="0" fontId="3" fillId="2" borderId="3" xfId="0" applyFont="1" applyFill="1" applyBorder="1" applyAlignment="1">
      <alignment horizontal="center"/>
    </xf>
    <xf numFmtId="164" fontId="3" fillId="2" borderId="6" xfId="0" applyNumberFormat="1" applyFont="1" applyFill="1" applyBorder="1" applyAlignment="1">
      <alignment horizontal="center" vertical="center"/>
    </xf>
    <xf numFmtId="164" fontId="3" fillId="2" borderId="19" xfId="0" applyNumberFormat="1" applyFont="1" applyFill="1" applyBorder="1" applyAlignment="1">
      <alignment horizontal="center" vertical="center"/>
    </xf>
    <xf numFmtId="164" fontId="3" fillId="2" borderId="26" xfId="0" applyNumberFormat="1" applyFont="1" applyFill="1" applyBorder="1" applyAlignment="1">
      <alignment horizontal="center" vertical="center"/>
    </xf>
    <xf numFmtId="164" fontId="3" fillId="2" borderId="23" xfId="0" applyNumberFormat="1"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164" fontId="4" fillId="2" borderId="0" xfId="0" applyNumberFormat="1" applyFont="1" applyFill="1" applyBorder="1" applyAlignment="1">
      <alignment horizontal="center"/>
    </xf>
    <xf numFmtId="164" fontId="0" fillId="2" borderId="0" xfId="0" applyNumberFormat="1" applyFill="1" applyAlignment="1">
      <alignment horizontal="center"/>
    </xf>
    <xf numFmtId="164" fontId="4" fillId="2" borderId="32" xfId="0" applyNumberFormat="1" applyFont="1" applyFill="1" applyBorder="1" applyAlignment="1">
      <alignment horizontal="center"/>
    </xf>
    <xf numFmtId="164" fontId="0" fillId="2" borderId="2" xfId="0" applyNumberFormat="1" applyFill="1" applyBorder="1" applyAlignment="1">
      <alignment horizontal="center"/>
    </xf>
    <xf numFmtId="164" fontId="0" fillId="2" borderId="4" xfId="0" applyNumberFormat="1" applyFill="1" applyBorder="1" applyAlignment="1">
      <alignment horizontal="center"/>
    </xf>
    <xf numFmtId="0" fontId="2" fillId="2" borderId="11" xfId="0" applyFont="1" applyFill="1" applyBorder="1" applyAlignment="1">
      <alignment horizontal="center"/>
    </xf>
    <xf numFmtId="0" fontId="2" fillId="2" borderId="1" xfId="0" applyFont="1" applyFill="1" applyBorder="1" applyAlignment="1">
      <alignment horizontal="center"/>
    </xf>
    <xf numFmtId="0" fontId="2" fillId="2" borderId="13" xfId="0" applyFont="1" applyFill="1" applyBorder="1" applyAlignment="1">
      <alignment horizontal="center"/>
    </xf>
    <xf numFmtId="0" fontId="2" fillId="2" borderId="11" xfId="0" applyFont="1" applyFill="1" applyBorder="1" applyAlignment="1">
      <alignment horizontal="center" vertical="center"/>
    </xf>
    <xf numFmtId="0" fontId="2" fillId="2" borderId="8" xfId="0" applyFont="1" applyFill="1" applyBorder="1" applyAlignment="1">
      <alignment horizontal="center"/>
    </xf>
    <xf numFmtId="167" fontId="0" fillId="0" borderId="1" xfId="0" applyNumberFormat="1" applyBorder="1" applyAlignment="1">
      <alignment horizontal="center"/>
    </xf>
    <xf numFmtId="165" fontId="0" fillId="0" borderId="1" xfId="0" applyNumberFormat="1" applyBorder="1" applyAlignment="1">
      <alignment horizontal="center"/>
    </xf>
    <xf numFmtId="164" fontId="0" fillId="0" borderId="1" xfId="0" applyNumberFormat="1" applyFill="1" applyBorder="1" applyAlignment="1">
      <alignment horizontal="center"/>
    </xf>
    <xf numFmtId="164" fontId="0" fillId="2" borderId="1" xfId="0" applyNumberFormat="1" applyFill="1" applyBorder="1" applyAlignment="1">
      <alignment horizontal="center"/>
    </xf>
    <xf numFmtId="164" fontId="0" fillId="2" borderId="7" xfId="0" applyNumberFormat="1" applyFill="1" applyBorder="1" applyAlignment="1">
      <alignment horizontal="center"/>
    </xf>
    <xf numFmtId="0" fontId="1" fillId="0" borderId="1" xfId="0" applyFont="1" applyBorder="1"/>
    <xf numFmtId="0" fontId="1" fillId="0" borderId="1" xfId="0" applyFont="1" applyBorder="1" applyAlignment="1">
      <alignment horizontal="center" vertical="center"/>
    </xf>
    <xf numFmtId="0" fontId="0" fillId="0" borderId="1" xfId="0" applyNumberFormat="1" applyFill="1" applyBorder="1" applyAlignment="1">
      <alignment horizontal="center"/>
    </xf>
    <xf numFmtId="14" fontId="5" fillId="2" borderId="9" xfId="0" applyNumberFormat="1" applyFont="1" applyFill="1" applyBorder="1" applyAlignment="1">
      <alignment horizontal="center"/>
    </xf>
    <xf numFmtId="164" fontId="0" fillId="0" borderId="18" xfId="0" applyNumberFormat="1" applyBorder="1" applyAlignment="1">
      <alignment horizontal="center" vertical="center"/>
    </xf>
    <xf numFmtId="164" fontId="0" fillId="0" borderId="19" xfId="0" applyNumberFormat="1" applyBorder="1" applyAlignment="1">
      <alignment horizontal="center" vertical="center"/>
    </xf>
    <xf numFmtId="164" fontId="0" fillId="0" borderId="20" xfId="0" applyNumberFormat="1" applyBorder="1" applyAlignment="1">
      <alignment horizontal="center" vertical="center"/>
    </xf>
    <xf numFmtId="164" fontId="0" fillId="2" borderId="19" xfId="0" applyNumberFormat="1" applyFill="1" applyBorder="1" applyAlignment="1">
      <alignment horizontal="center" vertical="center"/>
    </xf>
    <xf numFmtId="164" fontId="0" fillId="2" borderId="20" xfId="0" applyNumberFormat="1" applyFill="1" applyBorder="1" applyAlignment="1">
      <alignment horizontal="center" vertical="center"/>
    </xf>
    <xf numFmtId="164" fontId="0" fillId="2" borderId="3" xfId="0" applyNumberFormat="1" applyFill="1" applyBorder="1" applyAlignment="1">
      <alignment horizontal="center" vertical="center"/>
    </xf>
    <xf numFmtId="164" fontId="0" fillId="2" borderId="4" xfId="0" applyNumberFormat="1" applyFill="1" applyBorder="1" applyAlignment="1">
      <alignment horizontal="center" vertical="center"/>
    </xf>
    <xf numFmtId="164" fontId="0" fillId="2" borderId="33" xfId="0" applyNumberFormat="1" applyFill="1" applyBorder="1" applyAlignment="1">
      <alignment horizontal="center" vertical="center"/>
    </xf>
    <xf numFmtId="20" fontId="0" fillId="0" borderId="0" xfId="0" applyNumberFormat="1"/>
    <xf numFmtId="164" fontId="0" fillId="0" borderId="3" xfId="0" applyNumberFormat="1" applyFill="1" applyBorder="1" applyAlignment="1">
      <alignment horizontal="center"/>
    </xf>
    <xf numFmtId="0" fontId="0" fillId="0" borderId="0" xfId="0" applyAlignment="1">
      <alignment wrapText="1"/>
    </xf>
    <xf numFmtId="14" fontId="0" fillId="0" borderId="1" xfId="0" applyNumberFormat="1" applyBorder="1" applyAlignment="1">
      <alignment horizontal="center" vertical="top"/>
    </xf>
    <xf numFmtId="14" fontId="0" fillId="0" borderId="1" xfId="0" applyNumberFormat="1" applyBorder="1" applyAlignment="1">
      <alignment horizontal="center" vertical="top" wrapText="1"/>
    </xf>
    <xf numFmtId="0" fontId="8"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164" fontId="0" fillId="0" borderId="4" xfId="0" applyNumberFormat="1" applyBorder="1" applyAlignment="1">
      <alignment horizontal="center" vertical="center"/>
    </xf>
    <xf numFmtId="0" fontId="0" fillId="0" borderId="13" xfId="0" applyBorder="1" applyAlignment="1">
      <alignment horizontal="center"/>
    </xf>
    <xf numFmtId="164" fontId="0" fillId="0" borderId="13" xfId="0" applyNumberFormat="1" applyBorder="1" applyAlignment="1">
      <alignment horizontal="center"/>
    </xf>
    <xf numFmtId="0" fontId="0" fillId="0" borderId="13" xfId="0" applyBorder="1"/>
    <xf numFmtId="0" fontId="0" fillId="0" borderId="13" xfId="0" applyBorder="1" applyAlignment="1">
      <alignment horizontal="center" vertical="center"/>
    </xf>
    <xf numFmtId="164" fontId="0" fillId="0" borderId="31" xfId="0" applyNumberFormat="1" applyBorder="1" applyAlignment="1">
      <alignment horizontal="center"/>
    </xf>
    <xf numFmtId="0" fontId="0" fillId="0" borderId="11" xfId="0" applyBorder="1" applyAlignment="1">
      <alignment horizontal="center"/>
    </xf>
    <xf numFmtId="164" fontId="0" fillId="0" borderId="11" xfId="0" applyNumberFormat="1" applyBorder="1" applyAlignment="1">
      <alignment horizontal="center"/>
    </xf>
    <xf numFmtId="0" fontId="0" fillId="0" borderId="11" xfId="0" applyBorder="1" applyAlignment="1">
      <alignment horizontal="center" vertical="center"/>
    </xf>
    <xf numFmtId="0" fontId="0" fillId="0" borderId="11" xfId="0" applyBorder="1"/>
    <xf numFmtId="165" fontId="0" fillId="0" borderId="1" xfId="0" applyNumberFormat="1" applyBorder="1" applyAlignment="1">
      <alignment horizontal="center" vertical="center"/>
    </xf>
    <xf numFmtId="0" fontId="0" fillId="0" borderId="1" xfId="0" applyBorder="1" applyAlignment="1">
      <alignment horizontal="center" vertical="center"/>
    </xf>
    <xf numFmtId="165" fontId="0" fillId="0" borderId="1" xfId="0" applyNumberFormat="1" applyBorder="1" applyAlignment="1">
      <alignment horizontal="center" vertical="top"/>
    </xf>
    <xf numFmtId="165" fontId="4" fillId="0" borderId="11" xfId="0" applyNumberFormat="1" applyFont="1" applyBorder="1" applyAlignment="1">
      <alignment horizontal="center" vertical="center"/>
    </xf>
    <xf numFmtId="165" fontId="0" fillId="0" borderId="11" xfId="0" applyNumberFormat="1" applyBorder="1" applyAlignment="1">
      <alignment horizontal="center" vertical="center"/>
    </xf>
    <xf numFmtId="0" fontId="0" fillId="2" borderId="11" xfId="0" applyFill="1" applyBorder="1" applyAlignment="1">
      <alignment horizontal="center"/>
    </xf>
    <xf numFmtId="0" fontId="0" fillId="2" borderId="12" xfId="0" applyFill="1" applyBorder="1" applyAlignment="1">
      <alignment horizontal="center"/>
    </xf>
    <xf numFmtId="0" fontId="0" fillId="2" borderId="13" xfId="0" applyFill="1" applyBorder="1" applyAlignment="1">
      <alignment horizontal="center"/>
    </xf>
    <xf numFmtId="0" fontId="2" fillId="3" borderId="11" xfId="0" applyFont="1" applyFill="1" applyBorder="1" applyAlignment="1">
      <alignment horizontal="center"/>
    </xf>
    <xf numFmtId="0" fontId="2" fillId="3" borderId="12" xfId="0" applyFont="1" applyFill="1" applyBorder="1" applyAlignment="1">
      <alignment horizontal="center"/>
    </xf>
    <xf numFmtId="0" fontId="2" fillId="3" borderId="13" xfId="0" applyFont="1" applyFill="1" applyBorder="1" applyAlignment="1">
      <alignment horizontal="center"/>
    </xf>
    <xf numFmtId="0" fontId="0" fillId="4" borderId="1" xfId="0" applyFill="1" applyBorder="1" applyAlignment="1">
      <alignment horizontal="center"/>
    </xf>
    <xf numFmtId="0" fontId="0" fillId="4" borderId="11" xfId="0" applyFill="1" applyBorder="1" applyAlignment="1">
      <alignment horizontal="center"/>
    </xf>
    <xf numFmtId="0" fontId="2" fillId="3" borderId="5"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2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8" xfId="0" applyFont="1" applyFill="1" applyBorder="1" applyAlignment="1">
      <alignment horizontal="center" vertical="center"/>
    </xf>
    <xf numFmtId="0" fontId="0" fillId="3" borderId="1" xfId="0" applyFill="1" applyBorder="1" applyAlignment="1">
      <alignment horizontal="center"/>
    </xf>
    <xf numFmtId="0" fontId="0" fillId="3" borderId="11" xfId="0" applyFill="1" applyBorder="1" applyAlignment="1">
      <alignment horizontal="center"/>
    </xf>
    <xf numFmtId="164" fontId="0" fillId="0" borderId="5"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164" fontId="0" fillId="0" borderId="18" xfId="0" applyNumberForma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164" fontId="0" fillId="0" borderId="28" xfId="0" applyNumberFormat="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164" fontId="0" fillId="0" borderId="29" xfId="0" applyNumberForma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164" fontId="0" fillId="0" borderId="6" xfId="0" applyNumberFormat="1" applyBorder="1" applyAlignment="1">
      <alignment horizontal="center" vertical="center"/>
    </xf>
    <xf numFmtId="164" fontId="0" fillId="0" borderId="7" xfId="0" applyNumberFormat="1" applyBorder="1" applyAlignment="1">
      <alignment horizontal="center" vertical="center"/>
    </xf>
    <xf numFmtId="164" fontId="0" fillId="0" borderId="19" xfId="0" applyNumberFormat="1" applyBorder="1" applyAlignment="1">
      <alignment horizontal="center" vertical="center"/>
    </xf>
    <xf numFmtId="164" fontId="0" fillId="0" borderId="20" xfId="0" applyNumberFormat="1" applyBorder="1" applyAlignment="1">
      <alignment horizontal="center" vertical="center"/>
    </xf>
    <xf numFmtId="164" fontId="0" fillId="0" borderId="22" xfId="0" applyNumberFormat="1" applyBorder="1" applyAlignment="1">
      <alignment horizontal="center" vertical="center"/>
    </xf>
    <xf numFmtId="164" fontId="0" fillId="0" borderId="23" xfId="0" applyNumberFormat="1" applyBorder="1" applyAlignment="1">
      <alignment horizontal="center" vertical="center"/>
    </xf>
    <xf numFmtId="164" fontId="0" fillId="0" borderId="21" xfId="0" applyNumberFormat="1" applyBorder="1" applyAlignment="1">
      <alignment horizontal="center" vertical="center"/>
    </xf>
    <xf numFmtId="0" fontId="0" fillId="0" borderId="23" xfId="0" applyBorder="1" applyAlignment="1">
      <alignment horizontal="center" vertical="center"/>
    </xf>
    <xf numFmtId="0" fontId="0" fillId="0" borderId="21" xfId="0"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xf>
    <xf numFmtId="0" fontId="0" fillId="0" borderId="11" xfId="0" applyBorder="1" applyAlignment="1">
      <alignment horizontal="center"/>
    </xf>
    <xf numFmtId="0" fontId="0" fillId="2" borderId="1" xfId="0" applyNumberFormat="1" applyFill="1" applyBorder="1" applyAlignment="1">
      <alignment horizontal="center" vertical="center" wrapText="1"/>
    </xf>
    <xf numFmtId="165" fontId="0" fillId="0" borderId="14" xfId="0" applyNumberFormat="1" applyFill="1" applyBorder="1" applyAlignment="1">
      <alignment horizontal="center" vertical="center"/>
    </xf>
    <xf numFmtId="165" fontId="0" fillId="2" borderId="13" xfId="0" applyNumberFormat="1" applyFill="1" applyBorder="1" applyAlignment="1">
      <alignment horizontal="center" vertical="center"/>
    </xf>
    <xf numFmtId="164" fontId="4" fillId="0" borderId="18" xfId="0" applyNumberFormat="1"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165" fontId="4" fillId="0" borderId="14" xfId="0" applyNumberFormat="1" applyFont="1" applyFill="1" applyBorder="1" applyAlignment="1">
      <alignment horizontal="center" vertical="center"/>
    </xf>
    <xf numFmtId="0" fontId="2" fillId="5" borderId="11" xfId="0" applyFont="1" applyFill="1" applyBorder="1" applyAlignment="1">
      <alignment horizontal="center" vertical="center"/>
    </xf>
    <xf numFmtId="0" fontId="2" fillId="5" borderId="12" xfId="0" applyFont="1" applyFill="1" applyBorder="1" applyAlignment="1">
      <alignment horizontal="center" vertical="center"/>
    </xf>
    <xf numFmtId="0" fontId="2" fillId="5" borderId="13"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0" fillId="2" borderId="1" xfId="0" applyFill="1" applyBorder="1" applyAlignment="1">
      <alignment horizontal="center" wrapText="1"/>
    </xf>
    <xf numFmtId="0" fontId="0" fillId="2" borderId="1" xfId="0" applyFill="1" applyBorder="1" applyAlignment="1">
      <alignment horizontal="center"/>
    </xf>
    <xf numFmtId="165" fontId="0" fillId="0" borderId="13" xfId="0" applyNumberFormat="1" applyBorder="1" applyAlignment="1">
      <alignment horizontal="center" vertical="center"/>
    </xf>
    <xf numFmtId="165" fontId="4" fillId="0" borderId="13" xfId="0" applyNumberFormat="1" applyFont="1" applyBorder="1" applyAlignment="1">
      <alignment horizontal="center" vertical="center"/>
    </xf>
    <xf numFmtId="0" fontId="1" fillId="0" borderId="11" xfId="0" applyFont="1" applyBorder="1" applyAlignment="1">
      <alignment horizontal="center"/>
    </xf>
    <xf numFmtId="0" fontId="1" fillId="0" borderId="13" xfId="0" applyFont="1" applyBorder="1" applyAlignment="1">
      <alignment horizontal="center"/>
    </xf>
    <xf numFmtId="0" fontId="5" fillId="2" borderId="11" xfId="0" applyFont="1" applyFill="1" applyBorder="1" applyAlignment="1">
      <alignment horizontal="center"/>
    </xf>
    <xf numFmtId="0" fontId="5" fillId="2" borderId="12" xfId="0" applyFont="1" applyFill="1" applyBorder="1" applyAlignment="1">
      <alignment horizontal="center"/>
    </xf>
    <xf numFmtId="0" fontId="5" fillId="2" borderId="13" xfId="0" applyFont="1" applyFill="1" applyBorder="1" applyAlignment="1">
      <alignment horizontal="center"/>
    </xf>
    <xf numFmtId="0" fontId="0" fillId="0" borderId="30" xfId="0" applyNumberFormat="1" applyBorder="1" applyAlignment="1">
      <alignment horizontal="center" vertical="center"/>
    </xf>
    <xf numFmtId="0" fontId="0" fillId="0" borderId="29" xfId="0" applyNumberFormat="1" applyBorder="1" applyAlignment="1">
      <alignment horizontal="center" vertical="center"/>
    </xf>
    <xf numFmtId="0" fontId="0" fillId="0" borderId="31" xfId="0" applyNumberFormat="1" applyBorder="1" applyAlignment="1">
      <alignment horizontal="center" vertical="center"/>
    </xf>
    <xf numFmtId="166" fontId="0" fillId="0" borderId="23" xfId="0" applyNumberFormat="1" applyBorder="1" applyAlignment="1">
      <alignment horizontal="center" vertical="center"/>
    </xf>
    <xf numFmtId="165" fontId="0" fillId="0" borderId="22" xfId="0" applyNumberFormat="1" applyBorder="1" applyAlignment="1">
      <alignment horizontal="center" vertical="center"/>
    </xf>
    <xf numFmtId="165" fontId="0" fillId="0" borderId="23" xfId="0" applyNumberFormat="1" applyBorder="1" applyAlignment="1">
      <alignment horizontal="center" vertical="center"/>
    </xf>
    <xf numFmtId="165" fontId="0" fillId="0" borderId="21" xfId="0" applyNumberFormat="1" applyBorder="1" applyAlignment="1">
      <alignment horizontal="center" vertical="center"/>
    </xf>
    <xf numFmtId="166" fontId="0" fillId="0" borderId="22" xfId="0" applyNumberFormat="1" applyBorder="1" applyAlignment="1">
      <alignment horizontal="center" vertical="center"/>
    </xf>
    <xf numFmtId="166" fontId="0" fillId="0" borderId="21" xfId="0" applyNumberFormat="1" applyBorder="1" applyAlignment="1">
      <alignment horizontal="center" vertical="center"/>
    </xf>
    <xf numFmtId="0" fontId="0" fillId="2" borderId="32" xfId="0" applyFill="1" applyBorder="1" applyAlignment="1">
      <alignment horizontal="center"/>
    </xf>
    <xf numFmtId="167" fontId="0" fillId="0" borderId="29" xfId="0" applyNumberFormat="1" applyBorder="1" applyAlignment="1">
      <alignment horizontal="center" vertical="center"/>
    </xf>
    <xf numFmtId="167" fontId="0" fillId="0" borderId="30" xfId="0" applyNumberFormat="1" applyBorder="1" applyAlignment="1">
      <alignment horizontal="center" vertical="center"/>
    </xf>
    <xf numFmtId="167" fontId="0" fillId="0" borderId="31" xfId="0" applyNumberFormat="1" applyBorder="1" applyAlignment="1">
      <alignment horizontal="center" vertical="center"/>
    </xf>
    <xf numFmtId="0" fontId="2" fillId="2" borderId="9" xfId="0" applyFont="1" applyFill="1" applyBorder="1" applyAlignment="1">
      <alignment horizontal="center" vertical="center"/>
    </xf>
    <xf numFmtId="0" fontId="2" fillId="2" borderId="11" xfId="0" applyFont="1" applyFill="1" applyBorder="1" applyAlignment="1">
      <alignment horizontal="center"/>
    </xf>
    <xf numFmtId="0" fontId="2" fillId="2" borderId="12" xfId="0" applyFont="1" applyFill="1" applyBorder="1" applyAlignment="1">
      <alignment horizontal="center"/>
    </xf>
    <xf numFmtId="0" fontId="2" fillId="2" borderId="13" xfId="0" applyFont="1" applyFill="1" applyBorder="1" applyAlignment="1">
      <alignment horizontal="center"/>
    </xf>
    <xf numFmtId="0" fontId="0" fillId="0" borderId="1" xfId="0" applyBorder="1" applyAlignment="1">
      <alignment horizontal="left"/>
    </xf>
    <xf numFmtId="0" fontId="0" fillId="0" borderId="1" xfId="0" applyBorder="1" applyAlignment="1">
      <alignment horizontal="left" wrapText="1"/>
    </xf>
    <xf numFmtId="0" fontId="0" fillId="0" borderId="1" xfId="0" applyBorder="1" applyAlignment="1">
      <alignment horizontal="left" vertical="top" wrapText="1"/>
    </xf>
    <xf numFmtId="0" fontId="3" fillId="0" borderId="11" xfId="0" applyFont="1" applyBorder="1" applyAlignment="1">
      <alignment horizontal="left"/>
    </xf>
    <xf numFmtId="0" fontId="3" fillId="0" borderId="12" xfId="0" applyFont="1" applyBorder="1" applyAlignment="1">
      <alignment horizontal="left"/>
    </xf>
    <xf numFmtId="0" fontId="3" fillId="0" borderId="13" xfId="0" applyFont="1" applyBorder="1" applyAlignment="1">
      <alignment horizontal="left"/>
    </xf>
    <xf numFmtId="0" fontId="0" fillId="5" borderId="1" xfId="0" applyFont="1" applyFill="1" applyBorder="1" applyAlignment="1">
      <alignment horizontal="left"/>
    </xf>
    <xf numFmtId="0" fontId="0" fillId="5" borderId="11" xfId="0" applyFont="1" applyFill="1" applyBorder="1" applyAlignment="1">
      <alignment horizontal="left"/>
    </xf>
    <xf numFmtId="0" fontId="0" fillId="5" borderId="12" xfId="0" applyFont="1" applyFill="1" applyBorder="1" applyAlignment="1">
      <alignment horizontal="left"/>
    </xf>
    <xf numFmtId="0" fontId="0" fillId="5" borderId="13" xfId="0" applyFont="1" applyFill="1"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horizontal="left" wrapText="1"/>
    </xf>
    <xf numFmtId="0" fontId="8" fillId="0" borderId="11" xfId="0" applyFont="1" applyBorder="1" applyAlignment="1">
      <alignment horizontal="left"/>
    </xf>
    <xf numFmtId="0" fontId="8" fillId="0" borderId="12" xfId="0" applyFont="1" applyBorder="1" applyAlignment="1">
      <alignment horizontal="left"/>
    </xf>
    <xf numFmtId="0" fontId="8" fillId="0" borderId="13" xfId="0" applyFont="1" applyBorder="1" applyAlignment="1">
      <alignment horizontal="left"/>
    </xf>
    <xf numFmtId="0" fontId="0" fillId="0" borderId="1" xfId="0" applyFont="1" applyBorder="1" applyAlignment="1">
      <alignment horizontal="left"/>
    </xf>
    <xf numFmtId="0" fontId="0" fillId="0" borderId="1" xfId="0" applyBorder="1" applyAlignment="1">
      <alignment horizontal="center"/>
    </xf>
    <xf numFmtId="0" fontId="0" fillId="5" borderId="1" xfId="0" applyFill="1" applyBorder="1" applyAlignment="1">
      <alignment horizontal="left"/>
    </xf>
  </cellXfs>
  <cellStyles count="1">
    <cellStyle name="Normal" xfId="0" builtinId="0"/>
  </cellStyles>
  <dxfs count="5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EDC5B-69B8-4B2A-BB40-008B0101C279}">
  <dimension ref="A1:AE257"/>
  <sheetViews>
    <sheetView tabSelected="1" zoomScale="85" zoomScaleNormal="85" workbookViewId="0">
      <pane ySplit="2" topLeftCell="A3" activePane="bottomLeft" state="frozen"/>
      <selection pane="bottomLeft" activeCell="AF22" sqref="AF22"/>
    </sheetView>
  </sheetViews>
  <sheetFormatPr baseColWidth="10" defaultRowHeight="15" x14ac:dyDescent="0.25"/>
  <cols>
    <col min="2" max="5" width="8.7109375" customWidth="1"/>
    <col min="6" max="7" width="8.7109375" hidden="1" customWidth="1"/>
    <col min="8" max="8" width="8.7109375" style="32" hidden="1" customWidth="1"/>
    <col min="9" max="10" width="8.7109375" style="32" customWidth="1"/>
    <col min="11" max="11" width="8.7109375" customWidth="1"/>
    <col min="12" max="14" width="8.7109375" hidden="1" customWidth="1"/>
    <col min="15" max="17" width="8.7109375" customWidth="1"/>
    <col min="18" max="21" width="8.7109375" hidden="1" customWidth="1"/>
    <col min="22" max="23" width="8.7109375" customWidth="1"/>
    <col min="24" max="24" width="13.7109375" style="30" bestFit="1" customWidth="1"/>
    <col min="25" max="25" width="13.7109375" style="30" customWidth="1"/>
    <col min="26" max="26" width="14.7109375" bestFit="1" customWidth="1"/>
    <col min="27" max="27" width="13.7109375" customWidth="1"/>
    <col min="28" max="28" width="12" bestFit="1" customWidth="1"/>
    <col min="29" max="29" width="11.42578125" hidden="1" customWidth="1"/>
    <col min="30" max="30" width="17.42578125" hidden="1" customWidth="1"/>
    <col min="34" max="35" width="11.42578125" customWidth="1"/>
  </cols>
  <sheetData>
    <row r="1" spans="1:31" ht="15" customHeight="1" x14ac:dyDescent="0.25">
      <c r="A1" s="153"/>
      <c r="B1" s="145" t="s">
        <v>17</v>
      </c>
      <c r="C1" s="146"/>
      <c r="D1" s="146"/>
      <c r="E1" s="147"/>
      <c r="F1" s="148" t="s">
        <v>14</v>
      </c>
      <c r="G1" s="148"/>
      <c r="H1" s="149"/>
      <c r="I1" s="150" t="s">
        <v>13</v>
      </c>
      <c r="J1" s="151"/>
      <c r="K1" s="152"/>
      <c r="L1" s="189" t="s">
        <v>19</v>
      </c>
      <c r="M1" s="190"/>
      <c r="N1" s="191"/>
      <c r="O1" s="192" t="s">
        <v>20</v>
      </c>
      <c r="P1" s="193"/>
      <c r="Q1" s="194"/>
      <c r="R1" s="148" t="s">
        <v>12</v>
      </c>
      <c r="S1" s="148"/>
      <c r="T1" s="148"/>
      <c r="U1" s="155" t="s">
        <v>15</v>
      </c>
      <c r="V1" s="155"/>
      <c r="W1" s="156"/>
      <c r="X1" s="182" t="s">
        <v>29</v>
      </c>
      <c r="Y1" s="182"/>
      <c r="Z1" s="182"/>
      <c r="AA1" s="195" t="s">
        <v>28</v>
      </c>
      <c r="AB1" s="138" t="s">
        <v>91</v>
      </c>
      <c r="AC1" s="138"/>
      <c r="AD1" s="138"/>
      <c r="AE1" s="138"/>
    </row>
    <row r="2" spans="1:31" x14ac:dyDescent="0.25">
      <c r="A2" s="154"/>
      <c r="B2" s="70" t="s">
        <v>0</v>
      </c>
      <c r="C2" s="52" t="s">
        <v>1</v>
      </c>
      <c r="D2" s="52" t="s">
        <v>0</v>
      </c>
      <c r="E2" s="71" t="s">
        <v>1</v>
      </c>
      <c r="F2" s="54" t="s">
        <v>10</v>
      </c>
      <c r="G2" s="54" t="s">
        <v>16</v>
      </c>
      <c r="H2" s="59" t="s">
        <v>11</v>
      </c>
      <c r="I2" s="51" t="s">
        <v>10</v>
      </c>
      <c r="J2" s="52" t="s">
        <v>16</v>
      </c>
      <c r="K2" s="53" t="s">
        <v>11</v>
      </c>
      <c r="L2" s="54" t="s">
        <v>10</v>
      </c>
      <c r="M2" s="54" t="s">
        <v>16</v>
      </c>
      <c r="N2" s="59" t="s">
        <v>11</v>
      </c>
      <c r="O2" s="51" t="s">
        <v>10</v>
      </c>
      <c r="P2" s="52" t="s">
        <v>16</v>
      </c>
      <c r="Q2" s="53" t="s">
        <v>11</v>
      </c>
      <c r="R2" s="50" t="s">
        <v>10</v>
      </c>
      <c r="S2" s="54" t="s">
        <v>16</v>
      </c>
      <c r="T2" s="55" t="s">
        <v>11</v>
      </c>
      <c r="U2" s="51" t="s">
        <v>10</v>
      </c>
      <c r="V2" s="52" t="s">
        <v>16</v>
      </c>
      <c r="W2" s="69" t="s">
        <v>11</v>
      </c>
      <c r="X2" s="73" t="s">
        <v>30</v>
      </c>
      <c r="Y2" s="73" t="s">
        <v>31</v>
      </c>
      <c r="Z2" s="74" t="s">
        <v>32</v>
      </c>
      <c r="AA2" s="196"/>
      <c r="AB2" s="125" t="s">
        <v>92</v>
      </c>
      <c r="AC2" s="126" t="s">
        <v>2</v>
      </c>
      <c r="AD2" s="126" t="s">
        <v>18</v>
      </c>
      <c r="AE2" s="126" t="s">
        <v>34</v>
      </c>
    </row>
    <row r="3" spans="1:31" x14ac:dyDescent="0.25">
      <c r="A3" s="15">
        <v>44672</v>
      </c>
      <c r="B3" s="7">
        <v>0.36458333333333331</v>
      </c>
      <c r="C3" s="8">
        <v>0.50347222222222221</v>
      </c>
      <c r="D3" s="9">
        <v>0.52430555555555558</v>
      </c>
      <c r="E3" s="8">
        <v>0.72569444444444442</v>
      </c>
      <c r="F3" s="33">
        <f>IF(COUNTIF(B3:E3,0)=4,0,IF(COUNTIF(B3:E3,0)=2,$AD$3,$AC$3))</f>
        <v>0.30833333333333335</v>
      </c>
      <c r="G3" s="34">
        <f>IF(COUNTIF(B3:E3,0)=4,0,IF(COUNTIF(B3:E3,0)=2,$AD$7,$AC$7))</f>
        <v>1.6666666666666666E-2</v>
      </c>
      <c r="H3" s="60">
        <f>SUM(F3:G3)</f>
        <v>0.32500000000000001</v>
      </c>
      <c r="I3" s="33">
        <f>F3</f>
        <v>0.30833333333333335</v>
      </c>
      <c r="J3" s="34">
        <f>K3-I3</f>
        <v>3.1944444444444386E-2</v>
      </c>
      <c r="K3" s="24">
        <f>((C3-B3)+(E3-D3))</f>
        <v>0.34027777777777773</v>
      </c>
      <c r="L3" s="157">
        <f>SUM(F3:F7)</f>
        <v>0.92500000000000004</v>
      </c>
      <c r="M3" s="160">
        <f>SUM(G3:G7)</f>
        <v>0.05</v>
      </c>
      <c r="N3" s="173">
        <f>L3+M3</f>
        <v>0.97500000000000009</v>
      </c>
      <c r="O3" s="157">
        <f>SUM(I3:I7)</f>
        <v>0.92500000000000004</v>
      </c>
      <c r="P3" s="160">
        <f>SUM(J3:J7)</f>
        <v>9.3749999999999722E-2</v>
      </c>
      <c r="Q3" s="173">
        <f>O3+P3</f>
        <v>1.0187499999999998</v>
      </c>
      <c r="R3" s="157">
        <f>SUM(F3:F11)</f>
        <v>2.1583333333333332</v>
      </c>
      <c r="S3" s="160">
        <f>SUM(G3:G11)</f>
        <v>0.11666666666666665</v>
      </c>
      <c r="T3" s="163">
        <f>R3+S3</f>
        <v>2.2749999999999999</v>
      </c>
      <c r="U3" s="166">
        <f>SUM(I3:I11)</f>
        <v>2.1583333333333332</v>
      </c>
      <c r="V3" s="157">
        <f>SUM(J3:J11)</f>
        <v>0.22222222222222182</v>
      </c>
      <c r="W3" s="163">
        <f>U3+V3</f>
        <v>2.3805555555555551</v>
      </c>
      <c r="X3" s="141">
        <f>(SUM(G3:G5)*24)*($AC$14+$AC$14*$AD$14)</f>
        <v>39.724350000000008</v>
      </c>
      <c r="Y3" s="141">
        <f>(SUM(J3:J7)*24)*($AC$14+$AC$14*$AD$14)</f>
        <v>74.48315624999978</v>
      </c>
      <c r="Z3" s="183">
        <f>SUM(Y3:Y11)</f>
        <v>176.55266666666637</v>
      </c>
      <c r="AA3" s="184">
        <v>0</v>
      </c>
      <c r="AB3" s="137">
        <f>Y3-X3</f>
        <v>34.758806249999772</v>
      </c>
      <c r="AC3" s="127">
        <v>0.30833333333333335</v>
      </c>
      <c r="AD3" s="132">
        <v>0.15416666666666667</v>
      </c>
      <c r="AE3" s="139">
        <f>SUM(AB3:AB35)</f>
        <v>184.27684583333266</v>
      </c>
    </row>
    <row r="4" spans="1:31" x14ac:dyDescent="0.25">
      <c r="A4" s="16">
        <v>44673</v>
      </c>
      <c r="B4" s="10">
        <v>0.30902777777777779</v>
      </c>
      <c r="C4" s="11">
        <v>0.5</v>
      </c>
      <c r="D4" s="12">
        <v>0.52083333333333337</v>
      </c>
      <c r="E4" s="11">
        <v>0.66666666666666663</v>
      </c>
      <c r="F4" s="35">
        <f>IF(COUNTIF(B4:E4,0)=4,0,IF(COUNTIF(B4:E4,0)=2,$AD$3,$AC$3))</f>
        <v>0.30833333333333335</v>
      </c>
      <c r="G4" s="36">
        <f>IF(COUNTIF(B4:E4,0)=4,0,IF(COUNTIF(B4:E4,0)=2,$AD$7,$AC$7))</f>
        <v>1.6666666666666666E-2</v>
      </c>
      <c r="H4" s="61">
        <f t="shared" ref="H4:H67" si="0">SUM(F4:G4)</f>
        <v>0.32500000000000001</v>
      </c>
      <c r="I4" s="35">
        <f t="shared" ref="I4:I67" si="1">F4</f>
        <v>0.30833333333333335</v>
      </c>
      <c r="J4" s="36">
        <f t="shared" ref="J4:J26" si="2">K4-I4</f>
        <v>2.8472222222222121E-2</v>
      </c>
      <c r="K4" s="25">
        <f>((C4-B4)+(E4-D4))</f>
        <v>0.33680555555555547</v>
      </c>
      <c r="L4" s="169"/>
      <c r="M4" s="171"/>
      <c r="N4" s="174"/>
      <c r="O4" s="169"/>
      <c r="P4" s="171"/>
      <c r="Q4" s="174"/>
      <c r="R4" s="158"/>
      <c r="S4" s="161"/>
      <c r="T4" s="164"/>
      <c r="U4" s="167"/>
      <c r="V4" s="158"/>
      <c r="W4" s="164"/>
      <c r="X4" s="141"/>
      <c r="Y4" s="141"/>
      <c r="Z4" s="183"/>
      <c r="AA4" s="184"/>
      <c r="AB4" s="137"/>
      <c r="AE4" s="139"/>
    </row>
    <row r="5" spans="1:31" x14ac:dyDescent="0.25">
      <c r="A5" s="16">
        <v>44674</v>
      </c>
      <c r="B5" s="10">
        <v>0.30902777777777779</v>
      </c>
      <c r="C5" s="11">
        <v>0.51041666666666663</v>
      </c>
      <c r="D5" s="12">
        <v>0.53125</v>
      </c>
      <c r="E5" s="11">
        <v>0.67152777777777772</v>
      </c>
      <c r="F5" s="35">
        <f>IF(COUNTIF(B5:E5,0)=4,0,IF(COUNTIF(B5:E5,0)=2,$AD$3,$AC$3))</f>
        <v>0.30833333333333335</v>
      </c>
      <c r="G5" s="36">
        <f>IF(COUNTIF(B5:E5,0)=4,0,IF(COUNTIF(B5:E5,0)=2,$AD$7,$AC$7))</f>
        <v>1.6666666666666666E-2</v>
      </c>
      <c r="H5" s="61">
        <f t="shared" si="0"/>
        <v>0.32500000000000001</v>
      </c>
      <c r="I5" s="35">
        <f t="shared" si="1"/>
        <v>0.30833333333333335</v>
      </c>
      <c r="J5" s="36">
        <f t="shared" si="2"/>
        <v>3.3333333333333215E-2</v>
      </c>
      <c r="K5" s="25">
        <f>((C5-B5)+(E5-D5))</f>
        <v>0.34166666666666656</v>
      </c>
      <c r="L5" s="169"/>
      <c r="M5" s="171"/>
      <c r="N5" s="174"/>
      <c r="O5" s="169"/>
      <c r="P5" s="171"/>
      <c r="Q5" s="174"/>
      <c r="R5" s="158"/>
      <c r="S5" s="161"/>
      <c r="T5" s="164"/>
      <c r="U5" s="167"/>
      <c r="V5" s="158"/>
      <c r="W5" s="164"/>
      <c r="X5" s="141"/>
      <c r="Y5" s="141"/>
      <c r="Z5" s="183"/>
      <c r="AA5" s="184"/>
      <c r="AB5" s="137"/>
      <c r="AC5" s="178" t="s">
        <v>16</v>
      </c>
      <c r="AD5" s="179"/>
      <c r="AE5" s="139"/>
    </row>
    <row r="6" spans="1:31" x14ac:dyDescent="0.25">
      <c r="A6" s="18">
        <v>44675</v>
      </c>
      <c r="B6" s="5"/>
      <c r="C6" s="1"/>
      <c r="D6" s="3"/>
      <c r="E6" s="1"/>
      <c r="F6" s="39"/>
      <c r="G6" s="40"/>
      <c r="H6" s="57"/>
      <c r="I6" s="39"/>
      <c r="J6" s="40"/>
      <c r="K6" s="41"/>
      <c r="L6" s="169"/>
      <c r="M6" s="171"/>
      <c r="N6" s="174"/>
      <c r="O6" s="169"/>
      <c r="P6" s="171"/>
      <c r="Q6" s="174"/>
      <c r="R6" s="158"/>
      <c r="S6" s="161"/>
      <c r="T6" s="164"/>
      <c r="U6" s="167"/>
      <c r="V6" s="158"/>
      <c r="W6" s="164"/>
      <c r="X6" s="141"/>
      <c r="Y6" s="141"/>
      <c r="Z6" s="183"/>
      <c r="AA6" s="184"/>
      <c r="AB6" s="137"/>
      <c r="AC6" s="128" t="s">
        <v>2</v>
      </c>
      <c r="AD6" s="133" t="s">
        <v>18</v>
      </c>
      <c r="AE6" s="139"/>
    </row>
    <row r="7" spans="1:31" x14ac:dyDescent="0.25">
      <c r="A7" s="19">
        <v>44676</v>
      </c>
      <c r="B7" s="6"/>
      <c r="C7" s="2"/>
      <c r="D7" s="4"/>
      <c r="E7" s="2"/>
      <c r="F7" s="42"/>
      <c r="G7" s="43"/>
      <c r="H7" s="58"/>
      <c r="I7" s="42"/>
      <c r="J7" s="43"/>
      <c r="K7" s="44"/>
      <c r="L7" s="170"/>
      <c r="M7" s="172"/>
      <c r="N7" s="175"/>
      <c r="O7" s="170"/>
      <c r="P7" s="172"/>
      <c r="Q7" s="175"/>
      <c r="R7" s="158"/>
      <c r="S7" s="161"/>
      <c r="T7" s="164"/>
      <c r="U7" s="167"/>
      <c r="V7" s="158"/>
      <c r="W7" s="164"/>
      <c r="X7" s="141"/>
      <c r="Y7" s="141"/>
      <c r="Z7" s="183"/>
      <c r="AA7" s="184"/>
      <c r="AB7" s="137"/>
      <c r="AC7" s="129">
        <v>1.6666666666666666E-2</v>
      </c>
      <c r="AD7" s="134">
        <v>8.3333333333333332E-3</v>
      </c>
      <c r="AE7" s="139"/>
    </row>
    <row r="8" spans="1:31" x14ac:dyDescent="0.25">
      <c r="A8" s="15">
        <v>44677</v>
      </c>
      <c r="B8" s="7">
        <v>0.31041666666666667</v>
      </c>
      <c r="C8" s="8">
        <v>0.48958333333333331</v>
      </c>
      <c r="D8" s="12">
        <v>0.51111111111111107</v>
      </c>
      <c r="E8" s="11">
        <v>0.66805555555555551</v>
      </c>
      <c r="F8" s="33">
        <f>IF(COUNTIF(B8:E8,0)=4,0,IF(COUNTIF(B8:E8,0)=2,$AD$3,$AC$3))</f>
        <v>0.30833333333333335</v>
      </c>
      <c r="G8" s="34">
        <f>IF(COUNTIF(B8:E8,0)=4,0,IF(COUNTIF(B8:E8,0)=2,$AD$7,$AC$7))</f>
        <v>1.6666666666666666E-2</v>
      </c>
      <c r="H8" s="60">
        <f t="shared" si="0"/>
        <v>0.32500000000000001</v>
      </c>
      <c r="I8" s="33">
        <f t="shared" si="1"/>
        <v>0.30833333333333335</v>
      </c>
      <c r="J8" s="34">
        <f t="shared" si="2"/>
        <v>2.7777777777777735E-2</v>
      </c>
      <c r="K8" s="24">
        <f>((C8-B8)+(E8-D8))</f>
        <v>0.33611111111111108</v>
      </c>
      <c r="L8" s="157">
        <f>SUM(F8:F14)</f>
        <v>1.2333333333333334</v>
      </c>
      <c r="M8" s="160">
        <f>SUM(G8:G14)</f>
        <v>6.6666666666666666E-2</v>
      </c>
      <c r="N8" s="173">
        <f>L8+M8</f>
        <v>1.3</v>
      </c>
      <c r="O8" s="157">
        <f>SUM(I8:I14)</f>
        <v>1.2333333333333334</v>
      </c>
      <c r="P8" s="160">
        <f>SUM(J8:J14)</f>
        <v>0.1284722222222221</v>
      </c>
      <c r="Q8" s="173">
        <f>O8+P8</f>
        <v>1.3618055555555555</v>
      </c>
      <c r="R8" s="158"/>
      <c r="S8" s="161"/>
      <c r="T8" s="164"/>
      <c r="U8" s="167"/>
      <c r="V8" s="158"/>
      <c r="W8" s="164"/>
      <c r="X8" s="141">
        <f>(SUM(G8:G11)*24)*($AC$14+$AC$14*$AD$14)</f>
        <v>52.965800000000002</v>
      </c>
      <c r="Y8" s="141">
        <f>(SUM(J8:J14)*24)*($AC$14+$AC$14*$AD$14)</f>
        <v>102.06951041666657</v>
      </c>
      <c r="Z8" s="183"/>
      <c r="AA8" s="184"/>
      <c r="AB8" s="137">
        <f>Y8-X8</f>
        <v>49.103710416666573</v>
      </c>
      <c r="AE8" s="139"/>
    </row>
    <row r="9" spans="1:31" x14ac:dyDescent="0.25">
      <c r="A9" s="16">
        <v>44678</v>
      </c>
      <c r="B9" s="10">
        <v>0.31111111111111112</v>
      </c>
      <c r="C9" s="11">
        <v>0.51041666666666663</v>
      </c>
      <c r="D9" s="12">
        <v>0.53125</v>
      </c>
      <c r="E9" s="11">
        <v>0.66805555555555551</v>
      </c>
      <c r="F9" s="35">
        <f>IF(COUNTIF(B9:E9,0)=4,0,IF(COUNTIF(B9:E9,0)=2,$AD$3,$AC$3))</f>
        <v>0.30833333333333335</v>
      </c>
      <c r="G9" s="36">
        <f>IF(COUNTIF(B9:E9,0)=4,0,IF(COUNTIF(B9:E9,0)=2,$AD$7,$AC$7))</f>
        <v>1.6666666666666666E-2</v>
      </c>
      <c r="H9" s="61">
        <f t="shared" si="0"/>
        <v>0.32500000000000001</v>
      </c>
      <c r="I9" s="35">
        <f t="shared" si="1"/>
        <v>0.30833333333333335</v>
      </c>
      <c r="J9" s="36">
        <f t="shared" si="2"/>
        <v>2.7777777777777679E-2</v>
      </c>
      <c r="K9" s="25">
        <f>((C9-B9)+(E9-D9))</f>
        <v>0.33611111111111103</v>
      </c>
      <c r="L9" s="169"/>
      <c r="M9" s="171"/>
      <c r="N9" s="174"/>
      <c r="O9" s="169"/>
      <c r="P9" s="171"/>
      <c r="Q9" s="174"/>
      <c r="R9" s="158"/>
      <c r="S9" s="161"/>
      <c r="T9" s="164"/>
      <c r="U9" s="167"/>
      <c r="V9" s="158"/>
      <c r="W9" s="164"/>
      <c r="X9" s="141"/>
      <c r="Y9" s="141"/>
      <c r="Z9" s="183"/>
      <c r="AA9" s="184"/>
      <c r="AB9" s="137"/>
      <c r="AC9" s="180" t="s">
        <v>11</v>
      </c>
      <c r="AD9" s="181"/>
      <c r="AE9" s="139"/>
    </row>
    <row r="10" spans="1:31" x14ac:dyDescent="0.25">
      <c r="A10" s="16">
        <v>44679</v>
      </c>
      <c r="B10" s="10">
        <v>0.3034722222222222</v>
      </c>
      <c r="C10" s="11">
        <v>0.50347222222222221</v>
      </c>
      <c r="D10" s="12">
        <v>0.52430555555555558</v>
      </c>
      <c r="E10" s="11">
        <v>0.66736111111111107</v>
      </c>
      <c r="F10" s="35">
        <f>IF(COUNTIF(B10:E10,0)=4,0,IF(COUNTIF(B10:E10,0)=2,$AD$3,$AC$3))</f>
        <v>0.30833333333333335</v>
      </c>
      <c r="G10" s="36">
        <f>IF(COUNTIF(B10:E10,0)=4,0,IF(COUNTIF(B10:E10,0)=2,$AD$7,$AC$7))</f>
        <v>1.6666666666666666E-2</v>
      </c>
      <c r="H10" s="61">
        <f t="shared" si="0"/>
        <v>0.32500000000000001</v>
      </c>
      <c r="I10" s="35">
        <f t="shared" si="1"/>
        <v>0.30833333333333335</v>
      </c>
      <c r="J10" s="36">
        <f t="shared" si="2"/>
        <v>3.4722222222222154E-2</v>
      </c>
      <c r="K10" s="25">
        <f>((C10-B10)+(E10-D10))</f>
        <v>0.3430555555555555</v>
      </c>
      <c r="L10" s="169"/>
      <c r="M10" s="171"/>
      <c r="N10" s="174"/>
      <c r="O10" s="169"/>
      <c r="P10" s="171"/>
      <c r="Q10" s="174"/>
      <c r="R10" s="158"/>
      <c r="S10" s="161"/>
      <c r="T10" s="164"/>
      <c r="U10" s="167"/>
      <c r="V10" s="158"/>
      <c r="W10" s="164"/>
      <c r="X10" s="141"/>
      <c r="Y10" s="141"/>
      <c r="Z10" s="183"/>
      <c r="AA10" s="184"/>
      <c r="AB10" s="137"/>
      <c r="AC10" s="128" t="s">
        <v>2</v>
      </c>
      <c r="AD10" s="133" t="s">
        <v>18</v>
      </c>
      <c r="AE10" s="139"/>
    </row>
    <row r="11" spans="1:31" x14ac:dyDescent="0.25">
      <c r="A11" s="16">
        <v>44680</v>
      </c>
      <c r="B11" s="10">
        <v>0.30555555555555558</v>
      </c>
      <c r="C11" s="11">
        <v>0.51736111111111116</v>
      </c>
      <c r="D11" s="12">
        <v>0.53819444444444442</v>
      </c>
      <c r="E11" s="11">
        <v>0.67291666666666672</v>
      </c>
      <c r="F11" s="35">
        <f>IF(COUNTIF(B11:E11,0)=4,0,IF(COUNTIF(B11:E11,0)=2,$AD$3,$AC$3))</f>
        <v>0.30833333333333335</v>
      </c>
      <c r="G11" s="36">
        <f>IF(COUNTIF(B11:E11,0)=4,0,IF(COUNTIF(B11:E11,0)=2,$AD$7,$AC$7))</f>
        <v>1.6666666666666666E-2</v>
      </c>
      <c r="H11" s="61">
        <f t="shared" si="0"/>
        <v>0.32500000000000001</v>
      </c>
      <c r="I11" s="35">
        <f t="shared" si="1"/>
        <v>0.30833333333333335</v>
      </c>
      <c r="J11" s="36">
        <f t="shared" si="2"/>
        <v>3.8194444444444531E-2</v>
      </c>
      <c r="K11" s="25">
        <f>((C11-B11)+(E11-D11))</f>
        <v>0.34652777777777788</v>
      </c>
      <c r="L11" s="169"/>
      <c r="M11" s="171"/>
      <c r="N11" s="174"/>
      <c r="O11" s="169"/>
      <c r="P11" s="171"/>
      <c r="Q11" s="174"/>
      <c r="R11" s="159"/>
      <c r="S11" s="162"/>
      <c r="T11" s="165"/>
      <c r="U11" s="168"/>
      <c r="V11" s="159"/>
      <c r="W11" s="165"/>
      <c r="X11" s="141"/>
      <c r="Y11" s="141"/>
      <c r="Z11" s="183"/>
      <c r="AA11" s="184"/>
      <c r="AB11" s="137"/>
      <c r="AC11" s="129">
        <v>0.32500000000000001</v>
      </c>
      <c r="AD11" s="134">
        <v>0.16250000000000001</v>
      </c>
      <c r="AE11" s="139"/>
    </row>
    <row r="12" spans="1:31" x14ac:dyDescent="0.25">
      <c r="A12" s="18">
        <v>44681</v>
      </c>
      <c r="B12" s="142" t="s">
        <v>4</v>
      </c>
      <c r="C12" s="143"/>
      <c r="D12" s="143"/>
      <c r="E12" s="144"/>
      <c r="F12" s="39"/>
      <c r="G12" s="40"/>
      <c r="H12" s="57"/>
      <c r="I12" s="118"/>
      <c r="J12" s="68"/>
      <c r="K12" s="27"/>
      <c r="L12" s="169"/>
      <c r="M12" s="171"/>
      <c r="N12" s="174"/>
      <c r="O12" s="169"/>
      <c r="P12" s="171"/>
      <c r="Q12" s="174"/>
      <c r="R12" s="157">
        <f>SUM(F12:F42)</f>
        <v>5.2416666666666689</v>
      </c>
      <c r="S12" s="160">
        <f>SUM(G12:G42)</f>
        <v>0.28333333333333333</v>
      </c>
      <c r="T12" s="173">
        <f>R12+S12</f>
        <v>5.5250000000000021</v>
      </c>
      <c r="U12" s="157">
        <f>SUM(I12:I42)</f>
        <v>5.2416666666666689</v>
      </c>
      <c r="V12" s="160">
        <f>SUM(J12:J42)</f>
        <v>0.34305555555555511</v>
      </c>
      <c r="W12" s="163">
        <f>U12+V12</f>
        <v>5.5847222222222239</v>
      </c>
      <c r="X12" s="141">
        <v>0</v>
      </c>
      <c r="Y12" s="141">
        <v>0</v>
      </c>
      <c r="Z12" s="183">
        <f>SUM(Y12:Y42)</f>
        <v>272.55317916666633</v>
      </c>
      <c r="AA12" s="184">
        <v>0</v>
      </c>
      <c r="AB12" s="137">
        <v>0</v>
      </c>
      <c r="AE12" s="139"/>
    </row>
    <row r="13" spans="1:31" x14ac:dyDescent="0.25">
      <c r="A13" s="18">
        <v>44682</v>
      </c>
      <c r="B13" s="5"/>
      <c r="C13" s="1"/>
      <c r="D13" s="3"/>
      <c r="E13" s="1"/>
      <c r="F13" s="39"/>
      <c r="G13" s="40"/>
      <c r="H13" s="57"/>
      <c r="I13" s="39"/>
      <c r="J13" s="40"/>
      <c r="K13" s="41"/>
      <c r="L13" s="169"/>
      <c r="M13" s="171"/>
      <c r="N13" s="174"/>
      <c r="O13" s="169"/>
      <c r="P13" s="171"/>
      <c r="Q13" s="174"/>
      <c r="R13" s="158"/>
      <c r="S13" s="161"/>
      <c r="T13" s="176"/>
      <c r="U13" s="158"/>
      <c r="V13" s="161"/>
      <c r="W13" s="164"/>
      <c r="X13" s="141"/>
      <c r="Y13" s="141"/>
      <c r="Z13" s="183"/>
      <c r="AA13" s="184"/>
      <c r="AB13" s="137"/>
      <c r="AC13" s="130" t="s">
        <v>21</v>
      </c>
      <c r="AD13" s="135" t="s">
        <v>22</v>
      </c>
      <c r="AE13" s="139"/>
    </row>
    <row r="14" spans="1:31" x14ac:dyDescent="0.25">
      <c r="A14" s="19">
        <v>44683</v>
      </c>
      <c r="B14" s="6"/>
      <c r="C14" s="2"/>
      <c r="D14" s="4"/>
      <c r="E14" s="2"/>
      <c r="F14" s="42"/>
      <c r="G14" s="43"/>
      <c r="H14" s="58"/>
      <c r="I14" s="42"/>
      <c r="J14" s="43"/>
      <c r="K14" s="44"/>
      <c r="L14" s="170"/>
      <c r="M14" s="172"/>
      <c r="N14" s="175"/>
      <c r="O14" s="170"/>
      <c r="P14" s="172"/>
      <c r="Q14" s="175"/>
      <c r="R14" s="158"/>
      <c r="S14" s="161"/>
      <c r="T14" s="176"/>
      <c r="U14" s="158"/>
      <c r="V14" s="161"/>
      <c r="W14" s="164"/>
      <c r="X14" s="141"/>
      <c r="Y14" s="141"/>
      <c r="Z14" s="183"/>
      <c r="AA14" s="184"/>
      <c r="AB14" s="137"/>
      <c r="AC14" s="131">
        <v>26.482900000000001</v>
      </c>
      <c r="AD14" s="135">
        <f>25/100</f>
        <v>0.25</v>
      </c>
      <c r="AE14" s="139"/>
    </row>
    <row r="15" spans="1:31" x14ac:dyDescent="0.25">
      <c r="A15" s="15">
        <v>44684</v>
      </c>
      <c r="B15" s="9">
        <v>0.31597222222222221</v>
      </c>
      <c r="C15" s="8">
        <v>0.50624999999999998</v>
      </c>
      <c r="D15" s="9">
        <v>0.52708333333333335</v>
      </c>
      <c r="E15" s="8">
        <v>0.66805555555555551</v>
      </c>
      <c r="F15" s="33">
        <f>IF(COUNTIF(B15:E15,0)=4,0,IF(COUNTIF(B15:E15,0)=2,$AD$3,$AC$3))</f>
        <v>0.30833333333333335</v>
      </c>
      <c r="G15" s="34">
        <f>IF(COUNTIF(B15:E15,0)=4,0,IF(COUNTIF(B15:E15,0)=2,$AD$7,$AC$7))</f>
        <v>1.6666666666666666E-2</v>
      </c>
      <c r="H15" s="60">
        <f t="shared" si="0"/>
        <v>0.32500000000000001</v>
      </c>
      <c r="I15" s="33">
        <f t="shared" si="1"/>
        <v>0.30833333333333335</v>
      </c>
      <c r="J15" s="34">
        <f t="shared" si="2"/>
        <v>2.2916666666666585E-2</v>
      </c>
      <c r="K15" s="24">
        <f>((C15-B15)+(E15-D15))</f>
        <v>0.33124999999999993</v>
      </c>
      <c r="L15" s="157">
        <f t="shared" ref="L15:M15" si="3">SUM(F15:F21)</f>
        <v>1.2333333333333334</v>
      </c>
      <c r="M15" s="160">
        <f t="shared" si="3"/>
        <v>6.6666666666666666E-2</v>
      </c>
      <c r="N15" s="173">
        <f t="shared" ref="N15" si="4">L15+M15</f>
        <v>1.3</v>
      </c>
      <c r="O15" s="157">
        <f t="shared" ref="O15:P15" si="5">SUM(I15:I21)</f>
        <v>1.2333333333333334</v>
      </c>
      <c r="P15" s="160">
        <f t="shared" si="5"/>
        <v>9.7222222222222043E-2</v>
      </c>
      <c r="Q15" s="173">
        <f t="shared" ref="Q15" si="6">O15+P15</f>
        <v>1.3305555555555555</v>
      </c>
      <c r="R15" s="158"/>
      <c r="S15" s="161"/>
      <c r="T15" s="176"/>
      <c r="U15" s="158"/>
      <c r="V15" s="161"/>
      <c r="W15" s="164"/>
      <c r="X15" s="141">
        <f>(SUM(G15:G18)*24)*($AC$14+$AC$14*$AD$14)</f>
        <v>52.965800000000002</v>
      </c>
      <c r="Y15" s="141">
        <f>(SUM(J15:J21)*24)*($AC$14+$AC$14*$AD$14)</f>
        <v>77.241791666666529</v>
      </c>
      <c r="Z15" s="183"/>
      <c r="AA15" s="184"/>
      <c r="AB15" s="137">
        <f>Y15-X15</f>
        <v>24.275991666666528</v>
      </c>
      <c r="AC15" s="80"/>
      <c r="AD15" s="81"/>
      <c r="AE15" s="139"/>
    </row>
    <row r="16" spans="1:31" x14ac:dyDescent="0.25">
      <c r="A16" s="16">
        <v>44685</v>
      </c>
      <c r="B16" s="12">
        <v>0.31111111111111112</v>
      </c>
      <c r="C16" s="11">
        <v>0.47986111111111113</v>
      </c>
      <c r="D16" s="12">
        <v>0.50486111111111109</v>
      </c>
      <c r="E16" s="11">
        <v>0.6694444444444444</v>
      </c>
      <c r="F16" s="35">
        <f>IF(COUNTIF(B16:E16,0)=4,0,IF(COUNTIF(B16:E16,0)=2,$AD$3,$AC$3))</f>
        <v>0.30833333333333335</v>
      </c>
      <c r="G16" s="36">
        <f>IF(COUNTIF(B16:E16,0)=4,0,IF(COUNTIF(B16:E16,0)=2,$AD$7,$AC$7))</f>
        <v>1.6666666666666666E-2</v>
      </c>
      <c r="H16" s="61">
        <f t="shared" si="0"/>
        <v>0.32500000000000001</v>
      </c>
      <c r="I16" s="35">
        <f t="shared" si="1"/>
        <v>0.30833333333333335</v>
      </c>
      <c r="J16" s="36">
        <f t="shared" si="2"/>
        <v>2.4999999999999967E-2</v>
      </c>
      <c r="K16" s="25">
        <f>((C16-B16)+(E16-D16))</f>
        <v>0.33333333333333331</v>
      </c>
      <c r="L16" s="169"/>
      <c r="M16" s="171"/>
      <c r="N16" s="174"/>
      <c r="O16" s="169"/>
      <c r="P16" s="171"/>
      <c r="Q16" s="174"/>
      <c r="R16" s="158"/>
      <c r="S16" s="161"/>
      <c r="T16" s="176"/>
      <c r="U16" s="158"/>
      <c r="V16" s="161"/>
      <c r="W16" s="164"/>
      <c r="X16" s="141"/>
      <c r="Y16" s="141"/>
      <c r="Z16" s="183"/>
      <c r="AA16" s="184"/>
      <c r="AB16" s="137"/>
      <c r="AC16" s="129">
        <v>8.3333333333333329E-2</v>
      </c>
      <c r="AD16" s="136"/>
      <c r="AE16" s="139"/>
    </row>
    <row r="17" spans="1:31" x14ac:dyDescent="0.25">
      <c r="A17" s="16">
        <v>44686</v>
      </c>
      <c r="B17" s="12">
        <v>0.30694444444444446</v>
      </c>
      <c r="C17" s="11">
        <v>0.51736111111111116</v>
      </c>
      <c r="D17" s="12">
        <v>0.55763888888888891</v>
      </c>
      <c r="E17" s="11">
        <v>0.67361111111111116</v>
      </c>
      <c r="F17" s="35">
        <f>IF(COUNTIF(B17:E17,0)=4,0,IF(COUNTIF(B17:E17,0)=2,$AD$3,$AC$3))</f>
        <v>0.30833333333333335</v>
      </c>
      <c r="G17" s="36">
        <f>IF(COUNTIF(B17:E17,0)=4,0,IF(COUNTIF(B17:E17,0)=2,$AD$7,$AC$7))</f>
        <v>1.6666666666666666E-2</v>
      </c>
      <c r="H17" s="61">
        <f t="shared" si="0"/>
        <v>0.32500000000000001</v>
      </c>
      <c r="I17" s="35">
        <f t="shared" si="1"/>
        <v>0.30833333333333335</v>
      </c>
      <c r="J17" s="36">
        <f t="shared" si="2"/>
        <v>1.8055555555555602E-2</v>
      </c>
      <c r="K17" s="25">
        <f>((C17-B17)+(E17-D17))</f>
        <v>0.32638888888888895</v>
      </c>
      <c r="L17" s="169"/>
      <c r="M17" s="171"/>
      <c r="N17" s="174"/>
      <c r="O17" s="169"/>
      <c r="P17" s="171"/>
      <c r="Q17" s="174"/>
      <c r="R17" s="158"/>
      <c r="S17" s="161"/>
      <c r="T17" s="176"/>
      <c r="U17" s="158"/>
      <c r="V17" s="161"/>
      <c r="W17" s="164"/>
      <c r="X17" s="141"/>
      <c r="Y17" s="141"/>
      <c r="Z17" s="183"/>
      <c r="AA17" s="184"/>
      <c r="AB17" s="137"/>
      <c r="AC17" s="29"/>
      <c r="AE17" s="139"/>
    </row>
    <row r="18" spans="1:31" x14ac:dyDescent="0.25">
      <c r="A18" s="16">
        <v>44687</v>
      </c>
      <c r="B18" s="12">
        <v>0.30902777777777779</v>
      </c>
      <c r="C18" s="11">
        <v>0.51041666666666663</v>
      </c>
      <c r="D18" s="12">
        <v>0.53125</v>
      </c>
      <c r="E18" s="11">
        <v>0.6694444444444444</v>
      </c>
      <c r="F18" s="35">
        <f>IF(COUNTIF(B18:E18,0)=4,0,IF(COUNTIF(B18:E18,0)=2,$AD$3,$AC$3))</f>
        <v>0.30833333333333335</v>
      </c>
      <c r="G18" s="36">
        <f>IF(COUNTIF(B18:E18,0)=4,0,IF(COUNTIF(B18:E18,0)=2,$AD$7,$AC$7))</f>
        <v>1.6666666666666666E-2</v>
      </c>
      <c r="H18" s="61">
        <f t="shared" si="0"/>
        <v>0.32500000000000001</v>
      </c>
      <c r="I18" s="35">
        <f t="shared" si="1"/>
        <v>0.30833333333333335</v>
      </c>
      <c r="J18" s="36">
        <f>K18-I18</f>
        <v>3.1249999999999889E-2</v>
      </c>
      <c r="K18" s="25">
        <f>((C18-B18)+(E18-D18))</f>
        <v>0.33958333333333324</v>
      </c>
      <c r="L18" s="169"/>
      <c r="M18" s="171"/>
      <c r="N18" s="174"/>
      <c r="O18" s="169"/>
      <c r="P18" s="171"/>
      <c r="Q18" s="174"/>
      <c r="R18" s="158"/>
      <c r="S18" s="161"/>
      <c r="T18" s="176"/>
      <c r="U18" s="158"/>
      <c r="V18" s="161"/>
      <c r="W18" s="164"/>
      <c r="X18" s="141"/>
      <c r="Y18" s="141"/>
      <c r="Z18" s="183"/>
      <c r="AA18" s="184"/>
      <c r="AB18" s="137"/>
      <c r="AC18" s="129">
        <v>1.625</v>
      </c>
      <c r="AD18" s="136" t="s">
        <v>27</v>
      </c>
      <c r="AE18" s="139"/>
    </row>
    <row r="19" spans="1:31" x14ac:dyDescent="0.25">
      <c r="A19" s="18">
        <v>44688</v>
      </c>
      <c r="B19" s="142" t="s">
        <v>5</v>
      </c>
      <c r="C19" s="143"/>
      <c r="D19" s="143"/>
      <c r="E19" s="144"/>
      <c r="F19" s="39"/>
      <c r="G19" s="40"/>
      <c r="H19" s="57"/>
      <c r="I19" s="118"/>
      <c r="J19" s="68"/>
      <c r="K19" s="27"/>
      <c r="L19" s="169"/>
      <c r="M19" s="171"/>
      <c r="N19" s="174"/>
      <c r="O19" s="169"/>
      <c r="P19" s="171"/>
      <c r="Q19" s="174"/>
      <c r="R19" s="158"/>
      <c r="S19" s="161"/>
      <c r="T19" s="176"/>
      <c r="U19" s="158"/>
      <c r="V19" s="161"/>
      <c r="W19" s="164"/>
      <c r="X19" s="141"/>
      <c r="Y19" s="141"/>
      <c r="Z19" s="183"/>
      <c r="AA19" s="184"/>
      <c r="AB19" s="137"/>
      <c r="AC19" s="129">
        <v>1.3</v>
      </c>
      <c r="AD19" s="136" t="s">
        <v>26</v>
      </c>
      <c r="AE19" s="139"/>
    </row>
    <row r="20" spans="1:31" x14ac:dyDescent="0.25">
      <c r="A20" s="18">
        <v>44689</v>
      </c>
      <c r="B20" s="3"/>
      <c r="C20" s="1"/>
      <c r="D20" s="3"/>
      <c r="E20" s="1"/>
      <c r="F20" s="39"/>
      <c r="G20" s="40"/>
      <c r="H20" s="57"/>
      <c r="I20" s="39"/>
      <c r="J20" s="40"/>
      <c r="K20" s="41"/>
      <c r="L20" s="169"/>
      <c r="M20" s="171"/>
      <c r="N20" s="174"/>
      <c r="O20" s="169"/>
      <c r="P20" s="171"/>
      <c r="Q20" s="174"/>
      <c r="R20" s="158"/>
      <c r="S20" s="161"/>
      <c r="T20" s="176"/>
      <c r="U20" s="158"/>
      <c r="V20" s="161"/>
      <c r="W20" s="164"/>
      <c r="X20" s="141"/>
      <c r="Y20" s="141"/>
      <c r="Z20" s="183"/>
      <c r="AA20" s="184"/>
      <c r="AB20" s="137"/>
      <c r="AC20" s="129">
        <v>0.97499999999999998</v>
      </c>
      <c r="AD20" s="136" t="s">
        <v>25</v>
      </c>
      <c r="AE20" s="139"/>
    </row>
    <row r="21" spans="1:31" x14ac:dyDescent="0.25">
      <c r="A21" s="19">
        <v>44690</v>
      </c>
      <c r="B21" s="4"/>
      <c r="C21" s="2"/>
      <c r="D21" s="4"/>
      <c r="E21" s="2"/>
      <c r="F21" s="42"/>
      <c r="G21" s="43"/>
      <c r="H21" s="58"/>
      <c r="I21" s="42"/>
      <c r="J21" s="43"/>
      <c r="K21" s="44"/>
      <c r="L21" s="170"/>
      <c r="M21" s="172"/>
      <c r="N21" s="175"/>
      <c r="O21" s="170"/>
      <c r="P21" s="172"/>
      <c r="Q21" s="175"/>
      <c r="R21" s="158"/>
      <c r="S21" s="161"/>
      <c r="T21" s="176"/>
      <c r="U21" s="158"/>
      <c r="V21" s="161"/>
      <c r="W21" s="164"/>
      <c r="X21" s="141"/>
      <c r="Y21" s="141"/>
      <c r="Z21" s="183"/>
      <c r="AA21" s="184"/>
      <c r="AB21" s="137"/>
      <c r="AC21" s="129">
        <v>0.65</v>
      </c>
      <c r="AD21" s="136" t="s">
        <v>24</v>
      </c>
      <c r="AE21" s="139"/>
    </row>
    <row r="22" spans="1:31" x14ac:dyDescent="0.25">
      <c r="A22" s="15">
        <v>44691</v>
      </c>
      <c r="B22" s="9">
        <v>0.30972222222222223</v>
      </c>
      <c r="C22" s="8">
        <v>0.52083333333333337</v>
      </c>
      <c r="D22" s="9">
        <v>0.54166666666666663</v>
      </c>
      <c r="E22" s="8">
        <v>0.66736111111111107</v>
      </c>
      <c r="F22" s="33">
        <f>IF(COUNTIF(B22:E22,0)=4,0,IF(COUNTIF(B22:E22,0)=2,$AD$3,$AC$3))</f>
        <v>0.30833333333333335</v>
      </c>
      <c r="G22" s="34">
        <f>IF(COUNTIF(B22:E22,0)=4,0,IF(COUNTIF(B22:E22,0)=2,$AD$7,$AC$7))</f>
        <v>1.6666666666666666E-2</v>
      </c>
      <c r="H22" s="60">
        <f t="shared" si="0"/>
        <v>0.32500000000000001</v>
      </c>
      <c r="I22" s="33">
        <f t="shared" si="1"/>
        <v>0.30833333333333335</v>
      </c>
      <c r="J22" s="34">
        <f t="shared" si="2"/>
        <v>2.8472222222222232E-2</v>
      </c>
      <c r="K22" s="24">
        <f>((C22-B22)+(E22-D22))</f>
        <v>0.33680555555555558</v>
      </c>
      <c r="L22" s="157">
        <f t="shared" ref="L22:M22" si="7">SUM(F22:F28)</f>
        <v>1.2333333333333334</v>
      </c>
      <c r="M22" s="160">
        <f t="shared" si="7"/>
        <v>6.6666666666666666E-2</v>
      </c>
      <c r="N22" s="173">
        <f t="shared" ref="N22" si="8">L22+M22</f>
        <v>1.3</v>
      </c>
      <c r="O22" s="157">
        <f t="shared" ref="O22:P22" si="9">SUM(I22:I28)</f>
        <v>1.2333333333333334</v>
      </c>
      <c r="P22" s="160">
        <f t="shared" si="9"/>
        <v>0.12569444444444433</v>
      </c>
      <c r="Q22" s="173">
        <f t="shared" ref="Q22" si="10">O22+P22</f>
        <v>1.3590277777777777</v>
      </c>
      <c r="R22" s="158"/>
      <c r="S22" s="161"/>
      <c r="T22" s="176"/>
      <c r="U22" s="158"/>
      <c r="V22" s="161"/>
      <c r="W22" s="164"/>
      <c r="X22" s="141">
        <f>(SUM(G22:G28)*24)*($AC$14+$AC$14*$AD$14)</f>
        <v>52.965800000000002</v>
      </c>
      <c r="Y22" s="141">
        <f>(SUM(J22:J28)*24)*($AC$14+$AC$14*$AD$14)</f>
        <v>99.862602083333243</v>
      </c>
      <c r="Z22" s="183"/>
      <c r="AA22" s="184"/>
      <c r="AB22" s="137">
        <f>Y22-X22</f>
        <v>46.896802083333242</v>
      </c>
      <c r="AC22" s="129">
        <v>0.32500000000000001</v>
      </c>
      <c r="AD22" s="136" t="s">
        <v>23</v>
      </c>
      <c r="AE22" s="139"/>
    </row>
    <row r="23" spans="1:31" x14ac:dyDescent="0.25">
      <c r="A23" s="16">
        <v>44692</v>
      </c>
      <c r="B23" s="12">
        <v>0.30972222222222223</v>
      </c>
      <c r="C23" s="11">
        <v>0.50069444444444444</v>
      </c>
      <c r="D23" s="12">
        <v>0.52152777777777781</v>
      </c>
      <c r="E23" s="11">
        <v>0.66805555555555551</v>
      </c>
      <c r="F23" s="35">
        <f>IF(COUNTIF(B23:E23,0)=4,0,IF(COUNTIF(B23:E23,0)=2,$AD$3,$AC$3))</f>
        <v>0.30833333333333335</v>
      </c>
      <c r="G23" s="36">
        <f>IF(COUNTIF(B23:E23,0)=4,0,IF(COUNTIF(B23:E23,0)=2,$AD$7,$AC$7))</f>
        <v>1.6666666666666666E-2</v>
      </c>
      <c r="H23" s="61">
        <f t="shared" si="0"/>
        <v>0.32500000000000001</v>
      </c>
      <c r="I23" s="35">
        <f t="shared" si="1"/>
        <v>0.30833333333333335</v>
      </c>
      <c r="J23" s="36">
        <f t="shared" si="2"/>
        <v>2.9166666666666563E-2</v>
      </c>
      <c r="K23" s="25">
        <f>((C23-B23)+(E23-D23))</f>
        <v>0.33749999999999991</v>
      </c>
      <c r="L23" s="169"/>
      <c r="M23" s="171"/>
      <c r="N23" s="174"/>
      <c r="O23" s="169"/>
      <c r="P23" s="171"/>
      <c r="Q23" s="174"/>
      <c r="R23" s="158"/>
      <c r="S23" s="161"/>
      <c r="T23" s="176"/>
      <c r="U23" s="158"/>
      <c r="V23" s="161"/>
      <c r="W23" s="164"/>
      <c r="X23" s="141"/>
      <c r="Y23" s="141"/>
      <c r="Z23" s="183"/>
      <c r="AA23" s="184"/>
      <c r="AB23" s="137"/>
      <c r="AE23" s="139"/>
    </row>
    <row r="24" spans="1:31" x14ac:dyDescent="0.25">
      <c r="A24" s="16">
        <v>44693</v>
      </c>
      <c r="B24" s="12">
        <v>0.3125</v>
      </c>
      <c r="C24" s="11">
        <v>0.51041666666666663</v>
      </c>
      <c r="D24" s="12">
        <v>0.53125</v>
      </c>
      <c r="E24" s="11">
        <v>0.67986111111111114</v>
      </c>
      <c r="F24" s="35">
        <f>IF(COUNTIF(B24:E24,0)=4,0,IF(COUNTIF(B24:E24,0)=2,$AD$3,$AC$3))</f>
        <v>0.30833333333333335</v>
      </c>
      <c r="G24" s="36">
        <f>IF(COUNTIF(B24:E24,0)=4,0,IF(COUNTIF(B24:E24,0)=2,$AD$7,$AC$7))</f>
        <v>1.6666666666666666E-2</v>
      </c>
      <c r="H24" s="61">
        <f t="shared" si="0"/>
        <v>0.32500000000000001</v>
      </c>
      <c r="I24" s="35">
        <f t="shared" si="1"/>
        <v>0.30833333333333335</v>
      </c>
      <c r="J24" s="36">
        <f t="shared" si="2"/>
        <v>3.819444444444442E-2</v>
      </c>
      <c r="K24" s="25">
        <f>((C24-B24)+(E24-D24))</f>
        <v>0.34652777777777777</v>
      </c>
      <c r="L24" s="169"/>
      <c r="M24" s="171"/>
      <c r="N24" s="174"/>
      <c r="O24" s="169"/>
      <c r="P24" s="171"/>
      <c r="Q24" s="174"/>
      <c r="R24" s="158"/>
      <c r="S24" s="161"/>
      <c r="T24" s="176"/>
      <c r="U24" s="158"/>
      <c r="V24" s="161"/>
      <c r="W24" s="164"/>
      <c r="X24" s="141"/>
      <c r="Y24" s="141"/>
      <c r="Z24" s="183"/>
      <c r="AA24" s="184"/>
      <c r="AB24" s="137"/>
      <c r="AE24" s="139"/>
    </row>
    <row r="25" spans="1:31" x14ac:dyDescent="0.25">
      <c r="A25" s="18">
        <v>44694</v>
      </c>
      <c r="B25" s="142" t="s">
        <v>3</v>
      </c>
      <c r="C25" s="143"/>
      <c r="D25" s="143"/>
      <c r="E25" s="144"/>
      <c r="F25" s="39"/>
      <c r="G25" s="40"/>
      <c r="H25" s="57"/>
      <c r="I25" s="118"/>
      <c r="J25" s="68"/>
      <c r="K25" s="27"/>
      <c r="L25" s="169"/>
      <c r="M25" s="171"/>
      <c r="N25" s="174"/>
      <c r="O25" s="169"/>
      <c r="P25" s="171"/>
      <c r="Q25" s="174"/>
      <c r="R25" s="158"/>
      <c r="S25" s="161"/>
      <c r="T25" s="176"/>
      <c r="U25" s="158"/>
      <c r="V25" s="161"/>
      <c r="W25" s="164"/>
      <c r="X25" s="141"/>
      <c r="Y25" s="141"/>
      <c r="Z25" s="183"/>
      <c r="AA25" s="184"/>
      <c r="AB25" s="137"/>
      <c r="AE25" s="139"/>
    </row>
    <row r="26" spans="1:31" x14ac:dyDescent="0.25">
      <c r="A26" s="16">
        <v>44695</v>
      </c>
      <c r="B26" s="12">
        <v>0.30902777777777779</v>
      </c>
      <c r="C26" s="11">
        <v>0.52083333333333337</v>
      </c>
      <c r="D26" s="12">
        <v>0.54166666666666663</v>
      </c>
      <c r="E26" s="11">
        <v>0.66805555555555551</v>
      </c>
      <c r="F26" s="47">
        <f>IF(COUNTIF(B26:E26,0)=4,0,IF(COUNTIF(B26:E26,0)=2,$AD$3,$AC$3))</f>
        <v>0.30833333333333335</v>
      </c>
      <c r="G26" s="48">
        <f>IF(COUNTIF(B26:E26,0)=4,0,IF(COUNTIF(B26:E26,0)=2,$AD$7,$AC$7))</f>
        <v>1.6666666666666666E-2</v>
      </c>
      <c r="H26" s="62">
        <f t="shared" si="0"/>
        <v>0.32500000000000001</v>
      </c>
      <c r="I26" s="47">
        <f t="shared" si="1"/>
        <v>0.30833333333333335</v>
      </c>
      <c r="J26" s="48">
        <f t="shared" si="2"/>
        <v>2.9861111111111116E-2</v>
      </c>
      <c r="K26" s="49">
        <f>((C26-B26)+(E26-D26))</f>
        <v>0.33819444444444446</v>
      </c>
      <c r="L26" s="169"/>
      <c r="M26" s="171"/>
      <c r="N26" s="174"/>
      <c r="O26" s="169"/>
      <c r="P26" s="171"/>
      <c r="Q26" s="174"/>
      <c r="R26" s="158"/>
      <c r="S26" s="161"/>
      <c r="T26" s="176"/>
      <c r="U26" s="158"/>
      <c r="V26" s="161"/>
      <c r="W26" s="164"/>
      <c r="X26" s="141"/>
      <c r="Y26" s="141"/>
      <c r="Z26" s="183"/>
      <c r="AA26" s="184"/>
      <c r="AB26" s="137"/>
      <c r="AE26" s="139"/>
    </row>
    <row r="27" spans="1:31" x14ac:dyDescent="0.25">
      <c r="A27" s="18">
        <v>44696</v>
      </c>
      <c r="B27" s="3"/>
      <c r="C27" s="1"/>
      <c r="D27" s="3"/>
      <c r="E27" s="1"/>
      <c r="F27" s="39"/>
      <c r="G27" s="40"/>
      <c r="H27" s="57"/>
      <c r="I27" s="39"/>
      <c r="J27" s="40"/>
      <c r="K27" s="41"/>
      <c r="L27" s="169"/>
      <c r="M27" s="171"/>
      <c r="N27" s="174"/>
      <c r="O27" s="169"/>
      <c r="P27" s="171"/>
      <c r="Q27" s="174"/>
      <c r="R27" s="158"/>
      <c r="S27" s="161"/>
      <c r="T27" s="176"/>
      <c r="U27" s="158"/>
      <c r="V27" s="161"/>
      <c r="W27" s="164"/>
      <c r="X27" s="141"/>
      <c r="Y27" s="141"/>
      <c r="Z27" s="183"/>
      <c r="AA27" s="184"/>
      <c r="AB27" s="137"/>
      <c r="AC27" s="79"/>
      <c r="AE27" s="139"/>
    </row>
    <row r="28" spans="1:31" x14ac:dyDescent="0.25">
      <c r="A28" s="19">
        <v>44697</v>
      </c>
      <c r="B28" s="4"/>
      <c r="C28" s="2"/>
      <c r="D28" s="4"/>
      <c r="E28" s="2"/>
      <c r="F28" s="42"/>
      <c r="G28" s="43"/>
      <c r="H28" s="58"/>
      <c r="I28" s="42"/>
      <c r="J28" s="43"/>
      <c r="K28" s="44"/>
      <c r="L28" s="170"/>
      <c r="M28" s="172"/>
      <c r="N28" s="175"/>
      <c r="O28" s="170"/>
      <c r="P28" s="172"/>
      <c r="Q28" s="175"/>
      <c r="R28" s="158"/>
      <c r="S28" s="161"/>
      <c r="T28" s="176"/>
      <c r="U28" s="158"/>
      <c r="V28" s="161"/>
      <c r="W28" s="164"/>
      <c r="X28" s="141"/>
      <c r="Y28" s="141"/>
      <c r="Z28" s="183"/>
      <c r="AA28" s="184"/>
      <c r="AB28" s="137"/>
      <c r="AE28" s="139"/>
    </row>
    <row r="29" spans="1:31" x14ac:dyDescent="0.25">
      <c r="A29" s="15">
        <v>44698</v>
      </c>
      <c r="B29" s="9">
        <v>0.31041666666666667</v>
      </c>
      <c r="C29" s="8">
        <v>0.52083333333333337</v>
      </c>
      <c r="D29" s="9">
        <v>0.54166666666666663</v>
      </c>
      <c r="E29" s="8">
        <v>0.6694444444444444</v>
      </c>
      <c r="F29" s="33">
        <f>IF(COUNTIF(B29:E29,0)=4,0,IF(COUNTIF(B29:E29,0)=2,$AD$3,$AC$3))</f>
        <v>0.30833333333333335</v>
      </c>
      <c r="G29" s="34">
        <f>IF(COUNTIF(B29:E29,0)=4,0,IF(COUNTIF(B29:E29,0)=2,$AD$7,$AC$7))</f>
        <v>1.6666666666666666E-2</v>
      </c>
      <c r="H29" s="60">
        <f t="shared" si="0"/>
        <v>0.32500000000000001</v>
      </c>
      <c r="I29" s="33">
        <f t="shared" si="1"/>
        <v>0.30833333333333335</v>
      </c>
      <c r="J29" s="112">
        <f>IF(K29-I29 &lt; 0, 0, K29-I29)</f>
        <v>2.9861111111111116E-2</v>
      </c>
      <c r="K29" s="24">
        <f>((C29-B29)+(E29-D29))</f>
        <v>0.33819444444444446</v>
      </c>
      <c r="L29" s="157">
        <f t="shared" ref="L29:M29" si="11">SUM(F29:F35)</f>
        <v>1.5416666666666667</v>
      </c>
      <c r="M29" s="160">
        <f t="shared" si="11"/>
        <v>8.3333333333333329E-2</v>
      </c>
      <c r="N29" s="173">
        <f t="shared" ref="N29" si="12">L29+M29</f>
        <v>1.625</v>
      </c>
      <c r="O29" s="157">
        <f t="shared" ref="O29:P29" si="13">SUM(I29:I35)</f>
        <v>1.5416666666666667</v>
      </c>
      <c r="P29" s="160">
        <f t="shared" si="13"/>
        <v>0.12013888888888874</v>
      </c>
      <c r="Q29" s="173">
        <f t="shared" ref="Q29" si="14">O29+P29</f>
        <v>1.6618055555555555</v>
      </c>
      <c r="R29" s="158"/>
      <c r="S29" s="161"/>
      <c r="T29" s="176"/>
      <c r="U29" s="158"/>
      <c r="V29" s="161"/>
      <c r="W29" s="164"/>
      <c r="X29" s="141">
        <f t="shared" ref="X29" si="15">(SUM(G29:G35)*24)*($AC$14+$AC$14*$AD$14)</f>
        <v>66.207250000000002</v>
      </c>
      <c r="Y29" s="141">
        <f>(SUM(J29:J35)*24)*($AC$14+$AC$14*$AD$14)</f>
        <v>95.448785416666553</v>
      </c>
      <c r="Z29" s="183"/>
      <c r="AA29" s="184"/>
      <c r="AB29" s="137">
        <f>Y29-X29</f>
        <v>29.241535416666551</v>
      </c>
      <c r="AE29" s="139"/>
    </row>
    <row r="30" spans="1:31" x14ac:dyDescent="0.25">
      <c r="A30" s="16">
        <v>44699</v>
      </c>
      <c r="B30" s="12">
        <v>0.38750000000000001</v>
      </c>
      <c r="C30" s="120">
        <v>0.55208333333333337</v>
      </c>
      <c r="D30" s="12">
        <v>0.57291666666666663</v>
      </c>
      <c r="E30" s="120">
        <v>0.75486111111111109</v>
      </c>
      <c r="F30" s="35">
        <f>IF(COUNTIF(B30:E30,0)=4,0,IF(COUNTIF(B30:E30,0)=2,$AD$3,$AC$3))</f>
        <v>0.30833333333333335</v>
      </c>
      <c r="G30" s="36">
        <f>IF(COUNTIF(B30:E30,0)=4,0,IF(COUNTIF(B30:E30,0)=2,$AD$7,$AC$7))</f>
        <v>1.6666666666666666E-2</v>
      </c>
      <c r="H30" s="61">
        <f t="shared" si="0"/>
        <v>0.32500000000000001</v>
      </c>
      <c r="I30" s="35">
        <f t="shared" si="1"/>
        <v>0.30833333333333335</v>
      </c>
      <c r="J30" s="112">
        <f>IF(K30-I30 &lt; 0, 0, K30-I30)</f>
        <v>3.8194444444444475E-2</v>
      </c>
      <c r="K30" s="25">
        <f>((C30-B30)+(E30-D30))</f>
        <v>0.34652777777777782</v>
      </c>
      <c r="L30" s="169"/>
      <c r="M30" s="171"/>
      <c r="N30" s="174"/>
      <c r="O30" s="169"/>
      <c r="P30" s="171"/>
      <c r="Q30" s="174"/>
      <c r="R30" s="158"/>
      <c r="S30" s="161"/>
      <c r="T30" s="176"/>
      <c r="U30" s="158"/>
      <c r="V30" s="161"/>
      <c r="W30" s="164"/>
      <c r="X30" s="141"/>
      <c r="Y30" s="141"/>
      <c r="Z30" s="183"/>
      <c r="AA30" s="184"/>
      <c r="AB30" s="137"/>
      <c r="AE30" s="139"/>
    </row>
    <row r="31" spans="1:31" x14ac:dyDescent="0.25">
      <c r="A31" s="16">
        <v>44700</v>
      </c>
      <c r="B31" s="12">
        <v>0.31458333333333333</v>
      </c>
      <c r="C31" s="120">
        <v>0.49861111111111112</v>
      </c>
      <c r="D31" s="12">
        <v>0.51944444444444449</v>
      </c>
      <c r="E31" s="11">
        <v>0.66874999999999996</v>
      </c>
      <c r="F31" s="35">
        <f>IF(COUNTIF(B31:E31,0)=4,0,IF(COUNTIF(B31:E31,0)=2,$AD$3,$AC$3))</f>
        <v>0.30833333333333335</v>
      </c>
      <c r="G31" s="36">
        <f>IF(COUNTIF(B31:E31,0)=4,0,IF(COUNTIF(B31:E31,0)=2,$AD$7,$AC$7))</f>
        <v>1.6666666666666666E-2</v>
      </c>
      <c r="H31" s="61">
        <f t="shared" si="0"/>
        <v>0.32500000000000001</v>
      </c>
      <c r="I31" s="35">
        <f t="shared" si="1"/>
        <v>0.30833333333333335</v>
      </c>
      <c r="J31" s="36">
        <f>IF(K31-I31 &lt; 0, 0, K31-I31)</f>
        <v>2.4999999999999911E-2</v>
      </c>
      <c r="K31" s="25">
        <f>((C31-B31)+(E31-D31))</f>
        <v>0.33333333333333326</v>
      </c>
      <c r="L31" s="169"/>
      <c r="M31" s="171"/>
      <c r="N31" s="174"/>
      <c r="O31" s="169"/>
      <c r="P31" s="171"/>
      <c r="Q31" s="174"/>
      <c r="R31" s="158"/>
      <c r="S31" s="161"/>
      <c r="T31" s="176"/>
      <c r="U31" s="158"/>
      <c r="V31" s="161"/>
      <c r="W31" s="164"/>
      <c r="X31" s="141"/>
      <c r="Y31" s="141"/>
      <c r="Z31" s="183"/>
      <c r="AA31" s="184"/>
      <c r="AB31" s="137"/>
      <c r="AE31" s="139"/>
    </row>
    <row r="32" spans="1:31" x14ac:dyDescent="0.25">
      <c r="A32" s="16">
        <v>44701</v>
      </c>
      <c r="B32" s="12">
        <v>0.31041666666666667</v>
      </c>
      <c r="C32" s="11">
        <v>0.54166666666666663</v>
      </c>
      <c r="D32" s="12">
        <v>0.5625</v>
      </c>
      <c r="E32" s="11">
        <v>0.66666666666666663</v>
      </c>
      <c r="F32" s="35">
        <f>IF(COUNTIF(B32:E32,0)=4,0,IF(COUNTIF(B32:E32,0)=2,$AD$3,$AC$3))</f>
        <v>0.30833333333333335</v>
      </c>
      <c r="G32" s="36">
        <f>IF(COUNTIF(B32:E32,0)=4,0,IF(COUNTIF(B32:E32,0)=2,$AD$7,$AC$7))</f>
        <v>1.6666666666666666E-2</v>
      </c>
      <c r="H32" s="61">
        <f t="shared" si="0"/>
        <v>0.32500000000000001</v>
      </c>
      <c r="I32" s="35">
        <f t="shared" si="1"/>
        <v>0.30833333333333335</v>
      </c>
      <c r="J32" s="112">
        <f>IF(K32-I32 &lt; 0, 0, K32-I32)</f>
        <v>2.7083333333333237E-2</v>
      </c>
      <c r="K32" s="25">
        <f>((C32-B32)+(E32-D32))</f>
        <v>0.33541666666666659</v>
      </c>
      <c r="L32" s="169"/>
      <c r="M32" s="171"/>
      <c r="N32" s="174"/>
      <c r="O32" s="169"/>
      <c r="P32" s="171"/>
      <c r="Q32" s="174"/>
      <c r="R32" s="158"/>
      <c r="S32" s="161"/>
      <c r="T32" s="176"/>
      <c r="U32" s="158"/>
      <c r="V32" s="161"/>
      <c r="W32" s="164"/>
      <c r="X32" s="141"/>
      <c r="Y32" s="141"/>
      <c r="Z32" s="183"/>
      <c r="AA32" s="184"/>
      <c r="AB32" s="137"/>
      <c r="AE32" s="139"/>
    </row>
    <row r="33" spans="1:31" x14ac:dyDescent="0.25">
      <c r="A33" s="16">
        <v>44702</v>
      </c>
      <c r="B33" s="12"/>
      <c r="C33" s="11"/>
      <c r="D33" s="12"/>
      <c r="E33" s="11"/>
      <c r="F33" s="47">
        <f>IF(COUNTIF(B33:E33,0)=4,0,IF(COUNTIF(B33:E33,0)=2,$AD$3,$AC$3))</f>
        <v>0.30833333333333335</v>
      </c>
      <c r="G33" s="48">
        <f>IF(COUNTIF(B33:E33,0)=4,0,IF(COUNTIF(B33:E33,0)=2,$AD$7,$AC$7))</f>
        <v>1.6666666666666666E-2</v>
      </c>
      <c r="H33" s="62">
        <f t="shared" si="0"/>
        <v>0.32500000000000001</v>
      </c>
      <c r="I33" s="47">
        <f t="shared" si="1"/>
        <v>0.30833333333333335</v>
      </c>
      <c r="J33" s="112">
        <f>IF(K33-I33 &lt; 0, 0, K33-I33)</f>
        <v>0</v>
      </c>
      <c r="K33" s="49">
        <f>((C33-B33)+(E33-D33))</f>
        <v>0</v>
      </c>
      <c r="L33" s="169"/>
      <c r="M33" s="171"/>
      <c r="N33" s="174"/>
      <c r="O33" s="169"/>
      <c r="P33" s="171"/>
      <c r="Q33" s="174"/>
      <c r="R33" s="158"/>
      <c r="S33" s="161"/>
      <c r="T33" s="176"/>
      <c r="U33" s="158"/>
      <c r="V33" s="161"/>
      <c r="W33" s="164"/>
      <c r="X33" s="141"/>
      <c r="Y33" s="141"/>
      <c r="Z33" s="183"/>
      <c r="AA33" s="184"/>
      <c r="AB33" s="137"/>
      <c r="AE33" s="139"/>
    </row>
    <row r="34" spans="1:31" x14ac:dyDescent="0.25">
      <c r="A34" s="18">
        <v>44703</v>
      </c>
      <c r="B34" s="3"/>
      <c r="C34" s="1"/>
      <c r="D34" s="3"/>
      <c r="E34" s="1"/>
      <c r="F34" s="39"/>
      <c r="G34" s="40"/>
      <c r="H34" s="57"/>
      <c r="I34" s="39"/>
      <c r="J34" s="40"/>
      <c r="K34" s="41"/>
      <c r="L34" s="169"/>
      <c r="M34" s="171"/>
      <c r="N34" s="174"/>
      <c r="O34" s="169"/>
      <c r="P34" s="171"/>
      <c r="Q34" s="174"/>
      <c r="R34" s="158"/>
      <c r="S34" s="161"/>
      <c r="T34" s="176"/>
      <c r="U34" s="158"/>
      <c r="V34" s="161"/>
      <c r="W34" s="164"/>
      <c r="X34" s="141"/>
      <c r="Y34" s="141"/>
      <c r="Z34" s="183"/>
      <c r="AA34" s="184"/>
      <c r="AB34" s="137"/>
      <c r="AE34" s="139"/>
    </row>
    <row r="35" spans="1:31" x14ac:dyDescent="0.25">
      <c r="A35" s="19">
        <v>44704</v>
      </c>
      <c r="B35" s="4"/>
      <c r="C35" s="2"/>
      <c r="D35" s="4"/>
      <c r="E35" s="2"/>
      <c r="F35" s="42"/>
      <c r="G35" s="43"/>
      <c r="H35" s="58"/>
      <c r="I35" s="42"/>
      <c r="J35" s="43"/>
      <c r="K35" s="44"/>
      <c r="L35" s="170"/>
      <c r="M35" s="172"/>
      <c r="N35" s="175"/>
      <c r="O35" s="170"/>
      <c r="P35" s="172"/>
      <c r="Q35" s="175"/>
      <c r="R35" s="158"/>
      <c r="S35" s="161"/>
      <c r="T35" s="176"/>
      <c r="U35" s="158"/>
      <c r="V35" s="161"/>
      <c r="W35" s="164"/>
      <c r="X35" s="141"/>
      <c r="Y35" s="141"/>
      <c r="Z35" s="183"/>
      <c r="AA35" s="184"/>
      <c r="AB35" s="137"/>
      <c r="AE35" s="139"/>
    </row>
    <row r="36" spans="1:31" x14ac:dyDescent="0.25">
      <c r="A36" s="20">
        <v>44705</v>
      </c>
      <c r="B36" s="142" t="s">
        <v>6</v>
      </c>
      <c r="C36" s="143"/>
      <c r="D36" s="143"/>
      <c r="E36" s="144"/>
      <c r="F36" s="46"/>
      <c r="G36" s="45"/>
      <c r="H36" s="56"/>
      <c r="I36" s="118"/>
      <c r="J36" s="68"/>
      <c r="K36" s="27"/>
      <c r="L36" s="157">
        <f t="shared" ref="L36:M36" si="16">SUM(F36:F42)</f>
        <v>1.2333333333333334</v>
      </c>
      <c r="M36" s="160">
        <f t="shared" si="16"/>
        <v>6.6666666666666666E-2</v>
      </c>
      <c r="N36" s="173">
        <f t="shared" ref="N36" si="17">L36+M36</f>
        <v>1.3</v>
      </c>
      <c r="O36" s="157">
        <f t="shared" ref="O36:P36" si="18">SUM(I36:I42)</f>
        <v>1.2333333333333334</v>
      </c>
      <c r="P36" s="160">
        <f t="shared" si="18"/>
        <v>0</v>
      </c>
      <c r="Q36" s="173">
        <f t="shared" ref="Q36" si="19">O36+P36</f>
        <v>1.2333333333333334</v>
      </c>
      <c r="R36" s="158"/>
      <c r="S36" s="161"/>
      <c r="T36" s="176"/>
      <c r="U36" s="158"/>
      <c r="V36" s="161"/>
      <c r="W36" s="164"/>
      <c r="X36" s="141">
        <f t="shared" ref="X36" si="20">(SUM(G36:G42)*24)*($AC$14+$AC$14*$AD$14)</f>
        <v>52.965800000000002</v>
      </c>
      <c r="Y36" s="141">
        <f t="shared" ref="Y36" si="21">(SUM(J36:J42)*24)*($AC$14+$AC$14*$AD$14)</f>
        <v>0</v>
      </c>
      <c r="Z36" s="183"/>
      <c r="AA36" s="184"/>
      <c r="AB36" s="137"/>
      <c r="AE36" s="139"/>
    </row>
    <row r="37" spans="1:31" x14ac:dyDescent="0.25">
      <c r="A37" s="16">
        <v>44706</v>
      </c>
      <c r="B37" s="9"/>
      <c r="C37" s="8"/>
      <c r="D37" s="9"/>
      <c r="E37" s="8"/>
      <c r="F37" s="35">
        <f>IF(COUNTIF(B37:E37,0)=4,0,IF(COUNTIF(B37:E37,0)=2,$AD$3,$AC$3))</f>
        <v>0.30833333333333335</v>
      </c>
      <c r="G37" s="36">
        <f>IF(COUNTIF(B37:E37,0)=4,0,IF(COUNTIF(B37:E37,0)=2,$AD$7,$AC$7))</f>
        <v>1.6666666666666666E-2</v>
      </c>
      <c r="H37" s="61">
        <f t="shared" si="0"/>
        <v>0.32500000000000001</v>
      </c>
      <c r="I37" s="35">
        <f t="shared" si="1"/>
        <v>0.30833333333333335</v>
      </c>
      <c r="J37" s="36">
        <f>IF(K37-I37&lt;0,0,K37-I37)</f>
        <v>0</v>
      </c>
      <c r="K37" s="25">
        <f>((C37-B37)+(E37-D37))</f>
        <v>0</v>
      </c>
      <c r="L37" s="169"/>
      <c r="M37" s="171"/>
      <c r="N37" s="174"/>
      <c r="O37" s="169"/>
      <c r="P37" s="171"/>
      <c r="Q37" s="174"/>
      <c r="R37" s="158"/>
      <c r="S37" s="161"/>
      <c r="T37" s="176"/>
      <c r="U37" s="158"/>
      <c r="V37" s="161"/>
      <c r="W37" s="164"/>
      <c r="X37" s="141"/>
      <c r="Y37" s="141"/>
      <c r="Z37" s="183"/>
      <c r="AA37" s="184"/>
      <c r="AB37" s="137"/>
      <c r="AE37" s="139"/>
    </row>
    <row r="38" spans="1:31" x14ac:dyDescent="0.25">
      <c r="A38" s="16">
        <v>44707</v>
      </c>
      <c r="B38" s="12"/>
      <c r="C38" s="11"/>
      <c r="D38" s="12"/>
      <c r="E38" s="11"/>
      <c r="F38" s="35">
        <f>IF(COUNTIF(B38:E38,0)=4,0,IF(COUNTIF(B38:E38,0)=2,$AD$3,$AC$3))</f>
        <v>0.30833333333333335</v>
      </c>
      <c r="G38" s="36">
        <f>IF(COUNTIF(B38:E38,0)=4,0,IF(COUNTIF(B38:E38,0)=2,$AD$7,$AC$7))</f>
        <v>1.6666666666666666E-2</v>
      </c>
      <c r="H38" s="61">
        <f t="shared" si="0"/>
        <v>0.32500000000000001</v>
      </c>
      <c r="I38" s="35">
        <f t="shared" si="1"/>
        <v>0.30833333333333335</v>
      </c>
      <c r="J38" s="112">
        <f t="shared" ref="J38:J47" si="22">IF(K38-I38&lt;0,0,K38-I38)</f>
        <v>0</v>
      </c>
      <c r="K38" s="25">
        <f>((C38-B38)+(E38-D38))</f>
        <v>0</v>
      </c>
      <c r="L38" s="169"/>
      <c r="M38" s="171"/>
      <c r="N38" s="174"/>
      <c r="O38" s="169"/>
      <c r="P38" s="171"/>
      <c r="Q38" s="174"/>
      <c r="R38" s="158"/>
      <c r="S38" s="161"/>
      <c r="T38" s="176"/>
      <c r="U38" s="158"/>
      <c r="V38" s="161"/>
      <c r="W38" s="164"/>
      <c r="X38" s="141"/>
      <c r="Y38" s="141"/>
      <c r="Z38" s="183"/>
      <c r="AA38" s="184"/>
      <c r="AB38" s="137"/>
      <c r="AE38" s="139"/>
    </row>
    <row r="39" spans="1:31" x14ac:dyDescent="0.25">
      <c r="A39" s="16">
        <v>44708</v>
      </c>
      <c r="B39" s="12"/>
      <c r="C39" s="11"/>
      <c r="D39" s="12"/>
      <c r="E39" s="11"/>
      <c r="F39" s="35">
        <f>IF(COUNTIF(B39:E39,0)=4,0,IF(COUNTIF(B39:E39,0)=2,$AD$3,$AC$3))</f>
        <v>0.30833333333333335</v>
      </c>
      <c r="G39" s="36">
        <f>IF(COUNTIF(B39:E39,0)=4,0,IF(COUNTIF(B39:E39,0)=2,$AD$7,$AC$7))</f>
        <v>1.6666666666666666E-2</v>
      </c>
      <c r="H39" s="61">
        <f t="shared" si="0"/>
        <v>0.32500000000000001</v>
      </c>
      <c r="I39" s="35">
        <f t="shared" si="1"/>
        <v>0.30833333333333335</v>
      </c>
      <c r="J39" s="112">
        <f t="shared" si="22"/>
        <v>0</v>
      </c>
      <c r="K39" s="25">
        <f>((C39-B39)+(E39-D39))</f>
        <v>0</v>
      </c>
      <c r="L39" s="169"/>
      <c r="M39" s="171"/>
      <c r="N39" s="174"/>
      <c r="O39" s="169"/>
      <c r="P39" s="171"/>
      <c r="Q39" s="174"/>
      <c r="R39" s="158"/>
      <c r="S39" s="161"/>
      <c r="T39" s="176"/>
      <c r="U39" s="158"/>
      <c r="V39" s="161"/>
      <c r="W39" s="164"/>
      <c r="X39" s="141"/>
      <c r="Y39" s="141"/>
      <c r="Z39" s="183"/>
      <c r="AA39" s="184"/>
      <c r="AB39" s="137"/>
      <c r="AE39" s="139"/>
    </row>
    <row r="40" spans="1:31" x14ac:dyDescent="0.25">
      <c r="A40" s="16">
        <v>44709</v>
      </c>
      <c r="B40" s="12"/>
      <c r="C40" s="11"/>
      <c r="D40" s="12"/>
      <c r="E40" s="11"/>
      <c r="F40" s="47">
        <f>IF(COUNTIF(B40:E40,0)=4,0,IF(COUNTIF(B40:E40,0)=2,$AD$3,$AC$3))</f>
        <v>0.30833333333333335</v>
      </c>
      <c r="G40" s="48">
        <f>IF(COUNTIF(B40:E40,0)=4,0,IF(COUNTIF(B40:E40,0)=2,$AD$7,$AC$7))</f>
        <v>1.6666666666666666E-2</v>
      </c>
      <c r="H40" s="62">
        <f t="shared" si="0"/>
        <v>0.32500000000000001</v>
      </c>
      <c r="I40" s="47">
        <f t="shared" si="1"/>
        <v>0.30833333333333335</v>
      </c>
      <c r="J40" s="112">
        <f t="shared" si="22"/>
        <v>0</v>
      </c>
      <c r="K40" s="49">
        <f>((C40-B40)+(E40-D40))</f>
        <v>0</v>
      </c>
      <c r="L40" s="169"/>
      <c r="M40" s="171"/>
      <c r="N40" s="174"/>
      <c r="O40" s="169"/>
      <c r="P40" s="171"/>
      <c r="Q40" s="174"/>
      <c r="R40" s="158"/>
      <c r="S40" s="161"/>
      <c r="T40" s="176"/>
      <c r="U40" s="158"/>
      <c r="V40" s="161"/>
      <c r="W40" s="164"/>
      <c r="X40" s="141"/>
      <c r="Y40" s="141"/>
      <c r="Z40" s="183"/>
      <c r="AA40" s="184"/>
      <c r="AB40" s="137"/>
      <c r="AE40" s="139"/>
    </row>
    <row r="41" spans="1:31" x14ac:dyDescent="0.25">
      <c r="A41" s="18">
        <v>44710</v>
      </c>
      <c r="B41" s="21"/>
      <c r="C41" s="22"/>
      <c r="D41" s="21"/>
      <c r="E41" s="22"/>
      <c r="F41" s="39"/>
      <c r="G41" s="40"/>
      <c r="H41" s="57"/>
      <c r="I41" s="39"/>
      <c r="J41" s="114"/>
      <c r="K41" s="116"/>
      <c r="L41" s="169"/>
      <c r="M41" s="171"/>
      <c r="N41" s="174"/>
      <c r="O41" s="169"/>
      <c r="P41" s="171"/>
      <c r="Q41" s="174"/>
      <c r="R41" s="158"/>
      <c r="S41" s="161"/>
      <c r="T41" s="176"/>
      <c r="U41" s="158"/>
      <c r="V41" s="161"/>
      <c r="W41" s="164"/>
      <c r="X41" s="141"/>
      <c r="Y41" s="141"/>
      <c r="Z41" s="183"/>
      <c r="AA41" s="184"/>
      <c r="AB41" s="137"/>
      <c r="AE41" s="139"/>
    </row>
    <row r="42" spans="1:31" x14ac:dyDescent="0.25">
      <c r="A42" s="19">
        <v>44711</v>
      </c>
      <c r="B42" s="4"/>
      <c r="C42" s="2"/>
      <c r="D42" s="4"/>
      <c r="E42" s="2"/>
      <c r="F42" s="42"/>
      <c r="G42" s="43"/>
      <c r="H42" s="58"/>
      <c r="I42" s="42"/>
      <c r="J42" s="115"/>
      <c r="K42" s="117"/>
      <c r="L42" s="170"/>
      <c r="M42" s="172"/>
      <c r="N42" s="175"/>
      <c r="O42" s="170"/>
      <c r="P42" s="172"/>
      <c r="Q42" s="175"/>
      <c r="R42" s="159"/>
      <c r="S42" s="162"/>
      <c r="T42" s="177"/>
      <c r="U42" s="159"/>
      <c r="V42" s="162"/>
      <c r="W42" s="165"/>
      <c r="X42" s="141"/>
      <c r="Y42" s="141"/>
      <c r="Z42" s="183"/>
      <c r="AA42" s="184"/>
      <c r="AB42" s="137"/>
      <c r="AE42" s="139"/>
    </row>
    <row r="43" spans="1:31" x14ac:dyDescent="0.25">
      <c r="A43" s="15">
        <v>44712</v>
      </c>
      <c r="B43" s="9"/>
      <c r="C43" s="8"/>
      <c r="D43" s="9"/>
      <c r="E43" s="8"/>
      <c r="F43" s="33">
        <f>IF(COUNTIF(B43:E43,0)=4,0,IF(COUNTIF(B43:E43,0)=2,$AD$3,$AC$3))</f>
        <v>0.30833333333333335</v>
      </c>
      <c r="G43" s="34">
        <f>IF(COUNTIF(B43:E43,0)=4,0,IF(COUNTIF(B43:E43,0)=2,$AD$7,$AC$7))</f>
        <v>1.6666666666666666E-2</v>
      </c>
      <c r="H43" s="60">
        <f t="shared" si="0"/>
        <v>0.32500000000000001</v>
      </c>
      <c r="I43" s="33">
        <f t="shared" si="1"/>
        <v>0.30833333333333335</v>
      </c>
      <c r="J43" s="112">
        <f t="shared" si="22"/>
        <v>0</v>
      </c>
      <c r="K43" s="24">
        <f>((C43-B43)+(E43-D43))</f>
        <v>0</v>
      </c>
      <c r="L43" s="157">
        <f t="shared" ref="L43:M43" si="23">SUM(F43:F49)</f>
        <v>1.5416666666666667</v>
      </c>
      <c r="M43" s="160">
        <f t="shared" si="23"/>
        <v>8.3333333333333329E-2</v>
      </c>
      <c r="N43" s="173">
        <f t="shared" ref="N43" si="24">L43+M43</f>
        <v>1.625</v>
      </c>
      <c r="O43" s="157">
        <f t="shared" ref="O43:P43" si="25">SUM(I43:I49)</f>
        <v>1.5416666666666667</v>
      </c>
      <c r="P43" s="160">
        <f t="shared" si="25"/>
        <v>0</v>
      </c>
      <c r="Q43" s="173">
        <f t="shared" ref="Q43" si="26">O43+P43</f>
        <v>1.5416666666666667</v>
      </c>
      <c r="R43" s="157">
        <f>SUM(F43:F72)</f>
        <v>6.7833333333333368</v>
      </c>
      <c r="S43" s="160">
        <f>SUM(G43:G72)</f>
        <v>0.36666666666666664</v>
      </c>
      <c r="T43" s="173">
        <f>R43+S43</f>
        <v>7.150000000000003</v>
      </c>
      <c r="U43" s="157">
        <f>SUM(I43:I72)</f>
        <v>6.7833333333333368</v>
      </c>
      <c r="V43" s="160">
        <f>SUM(J43:J72)</f>
        <v>0</v>
      </c>
      <c r="W43" s="173">
        <f>U43+V43</f>
        <v>6.7833333333333368</v>
      </c>
      <c r="X43" s="141">
        <f t="shared" ref="X43" si="27">(SUM(G43:G49)*24)*($AC$14+$AC$14*$AD$14)</f>
        <v>66.207250000000002</v>
      </c>
      <c r="Y43" s="141">
        <f t="shared" ref="Y43" si="28">(SUM(J43:J49)*24)*($AC$14+$AC$14*$AD$14)</f>
        <v>0</v>
      </c>
      <c r="Z43" s="188"/>
      <c r="AA43" s="197"/>
      <c r="AB43" s="137"/>
    </row>
    <row r="44" spans="1:31" x14ac:dyDescent="0.25">
      <c r="A44" s="16">
        <v>44713</v>
      </c>
      <c r="B44" s="12"/>
      <c r="C44" s="11"/>
      <c r="D44" s="12"/>
      <c r="E44" s="11"/>
      <c r="F44" s="35">
        <f>IF(COUNTIF(B44:E44,0)=4,0,IF(COUNTIF(B44:E44,0)=2,$AD$3,$AC$3))</f>
        <v>0.30833333333333335</v>
      </c>
      <c r="G44" s="36">
        <f>IF(COUNTIF(B44:E44,0)=4,0,IF(COUNTIF(B44:E44,0)=2,$AD$7,$AC$7))</f>
        <v>1.6666666666666666E-2</v>
      </c>
      <c r="H44" s="61">
        <f t="shared" si="0"/>
        <v>0.32500000000000001</v>
      </c>
      <c r="I44" s="35">
        <f t="shared" si="1"/>
        <v>0.30833333333333335</v>
      </c>
      <c r="J44" s="112">
        <f t="shared" si="22"/>
        <v>0</v>
      </c>
      <c r="K44" s="25">
        <f>((C44-B44)+(E44-D44))</f>
        <v>0</v>
      </c>
      <c r="L44" s="169"/>
      <c r="M44" s="171"/>
      <c r="N44" s="174"/>
      <c r="O44" s="169"/>
      <c r="P44" s="171"/>
      <c r="Q44" s="174"/>
      <c r="R44" s="158"/>
      <c r="S44" s="161"/>
      <c r="T44" s="176"/>
      <c r="U44" s="158"/>
      <c r="V44" s="171"/>
      <c r="W44" s="174"/>
      <c r="X44" s="141"/>
      <c r="Y44" s="141"/>
      <c r="Z44" s="188"/>
      <c r="AA44" s="197"/>
      <c r="AB44" s="137"/>
    </row>
    <row r="45" spans="1:31" x14ac:dyDescent="0.25">
      <c r="A45" s="16">
        <v>44714</v>
      </c>
      <c r="B45" s="12"/>
      <c r="C45" s="11"/>
      <c r="D45" s="12"/>
      <c r="E45" s="11"/>
      <c r="F45" s="35">
        <f>IF(COUNTIF(B45:E45,0)=4,0,IF(COUNTIF(B45:E45,0)=2,$AD$3,$AC$3))</f>
        <v>0.30833333333333335</v>
      </c>
      <c r="G45" s="36">
        <f>IF(COUNTIF(B45:E45,0)=4,0,IF(COUNTIF(B45:E45,0)=2,$AD$7,$AC$7))</f>
        <v>1.6666666666666666E-2</v>
      </c>
      <c r="H45" s="61">
        <f t="shared" si="0"/>
        <v>0.32500000000000001</v>
      </c>
      <c r="I45" s="35">
        <f t="shared" si="1"/>
        <v>0.30833333333333335</v>
      </c>
      <c r="J45" s="112">
        <f t="shared" si="22"/>
        <v>0</v>
      </c>
      <c r="K45" s="25">
        <f>((C45-B45)+(E45-D45))</f>
        <v>0</v>
      </c>
      <c r="L45" s="169"/>
      <c r="M45" s="171"/>
      <c r="N45" s="174"/>
      <c r="O45" s="169"/>
      <c r="P45" s="171"/>
      <c r="Q45" s="174"/>
      <c r="R45" s="158"/>
      <c r="S45" s="161"/>
      <c r="T45" s="176"/>
      <c r="U45" s="158"/>
      <c r="V45" s="171"/>
      <c r="W45" s="174"/>
      <c r="X45" s="141"/>
      <c r="Y45" s="141"/>
      <c r="Z45" s="188"/>
      <c r="AA45" s="197"/>
      <c r="AB45" s="137"/>
    </row>
    <row r="46" spans="1:31" x14ac:dyDescent="0.25">
      <c r="A46" s="16">
        <v>44715</v>
      </c>
      <c r="B46" s="12"/>
      <c r="C46" s="11"/>
      <c r="D46" s="12"/>
      <c r="E46" s="11"/>
      <c r="F46" s="35">
        <f>IF(COUNTIF(B46:E46,0)=4,0,IF(COUNTIF(B46:E46,0)=2,$AD$3,$AC$3))</f>
        <v>0.30833333333333335</v>
      </c>
      <c r="G46" s="36">
        <f>IF(COUNTIF(B46:E46,0)=4,0,IF(COUNTIF(B46:E46,0)=2,$AD$7,$AC$7))</f>
        <v>1.6666666666666666E-2</v>
      </c>
      <c r="H46" s="61">
        <f t="shared" si="0"/>
        <v>0.32500000000000001</v>
      </c>
      <c r="I46" s="35">
        <f t="shared" si="1"/>
        <v>0.30833333333333335</v>
      </c>
      <c r="J46" s="112">
        <f t="shared" si="22"/>
        <v>0</v>
      </c>
      <c r="K46" s="25">
        <f>((C46-B46)+(E46-D46))</f>
        <v>0</v>
      </c>
      <c r="L46" s="169"/>
      <c r="M46" s="171"/>
      <c r="N46" s="174"/>
      <c r="O46" s="169"/>
      <c r="P46" s="171"/>
      <c r="Q46" s="174"/>
      <c r="R46" s="158"/>
      <c r="S46" s="161"/>
      <c r="T46" s="176"/>
      <c r="U46" s="158"/>
      <c r="V46" s="171"/>
      <c r="W46" s="174"/>
      <c r="X46" s="141"/>
      <c r="Y46" s="141"/>
      <c r="Z46" s="188"/>
      <c r="AA46" s="197"/>
      <c r="AB46" s="137"/>
    </row>
    <row r="47" spans="1:31" x14ac:dyDescent="0.25">
      <c r="A47" s="16">
        <v>44716</v>
      </c>
      <c r="B47" s="12"/>
      <c r="C47" s="11"/>
      <c r="D47" s="12"/>
      <c r="E47" s="11"/>
      <c r="F47" s="47">
        <f>IF(COUNTIF(B47:E47,0)=4,0,IF(COUNTIF(B47:E47,0)=2,$AD$3,$AC$3))</f>
        <v>0.30833333333333335</v>
      </c>
      <c r="G47" s="48">
        <f>IF(COUNTIF(B47:E47,0)=4,0,IF(COUNTIF(B47:E47,0)=2,$AD$7,$AC$7))</f>
        <v>1.6666666666666666E-2</v>
      </c>
      <c r="H47" s="62">
        <f t="shared" si="0"/>
        <v>0.32500000000000001</v>
      </c>
      <c r="I47" s="47">
        <f t="shared" si="1"/>
        <v>0.30833333333333335</v>
      </c>
      <c r="J47" s="112">
        <f t="shared" si="22"/>
        <v>0</v>
      </c>
      <c r="K47" s="49">
        <f>((C47-B47)+(E47-D47))</f>
        <v>0</v>
      </c>
      <c r="L47" s="169"/>
      <c r="M47" s="171"/>
      <c r="N47" s="174"/>
      <c r="O47" s="169"/>
      <c r="P47" s="171"/>
      <c r="Q47" s="174"/>
      <c r="R47" s="158"/>
      <c r="S47" s="161"/>
      <c r="T47" s="176"/>
      <c r="U47" s="158"/>
      <c r="V47" s="171"/>
      <c r="W47" s="174"/>
      <c r="X47" s="141"/>
      <c r="Y47" s="141"/>
      <c r="Z47" s="188"/>
      <c r="AA47" s="197"/>
      <c r="AB47" s="137"/>
    </row>
    <row r="48" spans="1:31" x14ac:dyDescent="0.25">
      <c r="A48" s="18">
        <v>44717</v>
      </c>
      <c r="B48" s="3"/>
      <c r="C48" s="1"/>
      <c r="D48" s="3"/>
      <c r="E48" s="1"/>
      <c r="F48" s="39"/>
      <c r="G48" s="40"/>
      <c r="H48" s="57"/>
      <c r="I48" s="39"/>
      <c r="J48" s="40"/>
      <c r="K48" s="41"/>
      <c r="L48" s="169"/>
      <c r="M48" s="171"/>
      <c r="N48" s="174"/>
      <c r="O48" s="169"/>
      <c r="P48" s="171"/>
      <c r="Q48" s="174"/>
      <c r="R48" s="158"/>
      <c r="S48" s="161"/>
      <c r="T48" s="176"/>
      <c r="U48" s="158"/>
      <c r="V48" s="171"/>
      <c r="W48" s="174"/>
      <c r="X48" s="141"/>
      <c r="Y48" s="141"/>
      <c r="Z48" s="188"/>
      <c r="AA48" s="197"/>
      <c r="AB48" s="137"/>
    </row>
    <row r="49" spans="1:28" x14ac:dyDescent="0.25">
      <c r="A49" s="19">
        <v>44718</v>
      </c>
      <c r="B49" s="4"/>
      <c r="C49" s="2"/>
      <c r="D49" s="4"/>
      <c r="E49" s="2"/>
      <c r="F49" s="42"/>
      <c r="G49" s="43"/>
      <c r="H49" s="58"/>
      <c r="I49" s="42"/>
      <c r="J49" s="43"/>
      <c r="K49" s="44"/>
      <c r="L49" s="170"/>
      <c r="M49" s="172"/>
      <c r="N49" s="175"/>
      <c r="O49" s="170"/>
      <c r="P49" s="172"/>
      <c r="Q49" s="175"/>
      <c r="R49" s="158"/>
      <c r="S49" s="161"/>
      <c r="T49" s="176"/>
      <c r="U49" s="158"/>
      <c r="V49" s="171"/>
      <c r="W49" s="174"/>
      <c r="X49" s="141"/>
      <c r="Y49" s="141"/>
      <c r="Z49" s="188"/>
      <c r="AA49" s="197"/>
      <c r="AB49" s="137"/>
    </row>
    <row r="50" spans="1:28" x14ac:dyDescent="0.25">
      <c r="A50" s="15">
        <v>44719</v>
      </c>
      <c r="B50" s="9"/>
      <c r="C50" s="8"/>
      <c r="D50" s="9"/>
      <c r="E50" s="8"/>
      <c r="F50" s="33">
        <f>IF(COUNTIF(B50:E50,0)=4,0,IF(COUNTIF(B50:E50,0)=2,$AD$3,$AC$3))</f>
        <v>0.30833333333333335</v>
      </c>
      <c r="G50" s="34">
        <f>IF(COUNTIF(B50:E50,0)=4,0,IF(COUNTIF(B50:E50,0)=2,$AD$7,$AC$7))</f>
        <v>1.6666666666666666E-2</v>
      </c>
      <c r="H50" s="60">
        <f t="shared" si="0"/>
        <v>0.32500000000000001</v>
      </c>
      <c r="I50" s="33">
        <f t="shared" si="1"/>
        <v>0.30833333333333335</v>
      </c>
      <c r="J50" s="111">
        <f>IF(K50-I50&lt;0,0,K50-I50)</f>
        <v>0</v>
      </c>
      <c r="K50" s="24">
        <f>((C50-B50)+(E50-D50))</f>
        <v>0</v>
      </c>
      <c r="L50" s="157">
        <f t="shared" ref="L50:M50" si="29">SUM(F50:F56)</f>
        <v>1.5416666666666667</v>
      </c>
      <c r="M50" s="160">
        <f t="shared" si="29"/>
        <v>8.3333333333333329E-2</v>
      </c>
      <c r="N50" s="173">
        <f t="shared" ref="N50" si="30">L50+M50</f>
        <v>1.625</v>
      </c>
      <c r="O50" s="157">
        <f t="shared" ref="O50:P50" si="31">SUM(I50:I56)</f>
        <v>1.5416666666666667</v>
      </c>
      <c r="P50" s="160">
        <f t="shared" si="31"/>
        <v>0</v>
      </c>
      <c r="Q50" s="173">
        <f t="shared" ref="Q50" si="32">O50+P50</f>
        <v>1.5416666666666667</v>
      </c>
      <c r="R50" s="158"/>
      <c r="S50" s="161"/>
      <c r="T50" s="176"/>
      <c r="U50" s="158"/>
      <c r="V50" s="171"/>
      <c r="W50" s="174"/>
      <c r="X50" s="141">
        <f t="shared" ref="X50" si="33">(SUM(G50:G56)*24)*($AC$14+$AC$14*$AD$14)</f>
        <v>66.207250000000002</v>
      </c>
      <c r="Y50" s="141">
        <f t="shared" ref="Y50" si="34">(SUM(J50:J56)*24)*($AC$14+$AC$14*$AD$14)</f>
        <v>0</v>
      </c>
      <c r="Z50" s="188"/>
      <c r="AA50" s="197"/>
      <c r="AB50" s="137"/>
    </row>
    <row r="51" spans="1:28" x14ac:dyDescent="0.25">
      <c r="A51" s="16">
        <v>44720</v>
      </c>
      <c r="B51" s="12"/>
      <c r="C51" s="11"/>
      <c r="D51" s="12"/>
      <c r="E51" s="11"/>
      <c r="F51" s="35">
        <f>IF(COUNTIF(B51:E51,0)=4,0,IF(COUNTIF(B51:E51,0)=2,$AD$3,$AC$3))</f>
        <v>0.30833333333333335</v>
      </c>
      <c r="G51" s="36">
        <f>IF(COUNTIF(B51:E51,0)=4,0,IF(COUNTIF(B51:E51,0)=2,$AD$7,$AC$7))</f>
        <v>1.6666666666666666E-2</v>
      </c>
      <c r="H51" s="61">
        <f t="shared" si="0"/>
        <v>0.32500000000000001</v>
      </c>
      <c r="I51" s="35">
        <f t="shared" si="1"/>
        <v>0.30833333333333335</v>
      </c>
      <c r="J51" s="112">
        <f t="shared" ref="J51:J114" si="35">IF(K51-I51&lt;0,0,K51-I51)</f>
        <v>0</v>
      </c>
      <c r="K51" s="25">
        <f>((C51-B51)+(E51-D51))</f>
        <v>0</v>
      </c>
      <c r="L51" s="169"/>
      <c r="M51" s="171"/>
      <c r="N51" s="174"/>
      <c r="O51" s="169"/>
      <c r="P51" s="171"/>
      <c r="Q51" s="174"/>
      <c r="R51" s="158"/>
      <c r="S51" s="161"/>
      <c r="T51" s="176"/>
      <c r="U51" s="158"/>
      <c r="V51" s="171"/>
      <c r="W51" s="174"/>
      <c r="X51" s="141"/>
      <c r="Y51" s="141"/>
      <c r="Z51" s="188"/>
      <c r="AA51" s="197"/>
      <c r="AB51" s="137"/>
    </row>
    <row r="52" spans="1:28" x14ac:dyDescent="0.25">
      <c r="A52" s="16">
        <v>44721</v>
      </c>
      <c r="B52" s="12"/>
      <c r="C52" s="11"/>
      <c r="D52" s="12"/>
      <c r="E52" s="11"/>
      <c r="F52" s="35">
        <f>IF(COUNTIF(B52:E52,0)=4,0,IF(COUNTIF(B52:E52,0)=2,$AD$3,$AC$3))</f>
        <v>0.30833333333333335</v>
      </c>
      <c r="G52" s="36">
        <f>IF(COUNTIF(B52:E52,0)=4,0,IF(COUNTIF(B52:E52,0)=2,$AD$7,$AC$7))</f>
        <v>1.6666666666666666E-2</v>
      </c>
      <c r="H52" s="61">
        <f t="shared" si="0"/>
        <v>0.32500000000000001</v>
      </c>
      <c r="I52" s="35">
        <f t="shared" si="1"/>
        <v>0.30833333333333335</v>
      </c>
      <c r="J52" s="112">
        <f t="shared" si="35"/>
        <v>0</v>
      </c>
      <c r="K52" s="25">
        <f>((C52-B52)+(E52-D52))</f>
        <v>0</v>
      </c>
      <c r="L52" s="169"/>
      <c r="M52" s="171"/>
      <c r="N52" s="174"/>
      <c r="O52" s="169"/>
      <c r="P52" s="171"/>
      <c r="Q52" s="174"/>
      <c r="R52" s="158"/>
      <c r="S52" s="161"/>
      <c r="T52" s="176"/>
      <c r="U52" s="158"/>
      <c r="V52" s="171"/>
      <c r="W52" s="174"/>
      <c r="X52" s="141"/>
      <c r="Y52" s="141"/>
      <c r="Z52" s="188"/>
      <c r="AA52" s="197"/>
      <c r="AB52" s="137"/>
    </row>
    <row r="53" spans="1:28" x14ac:dyDescent="0.25">
      <c r="A53" s="16">
        <v>44722</v>
      </c>
      <c r="B53" s="12"/>
      <c r="C53" s="11"/>
      <c r="D53" s="12"/>
      <c r="E53" s="11"/>
      <c r="F53" s="35">
        <f>IF(COUNTIF(B53:E53,0)=4,0,IF(COUNTIF(B53:E53,0)=2,$AD$3,$AC$3))</f>
        <v>0.30833333333333335</v>
      </c>
      <c r="G53" s="36">
        <f>IF(COUNTIF(B53:E53,0)=4,0,IF(COUNTIF(B53:E53,0)=2,$AD$7,$AC$7))</f>
        <v>1.6666666666666666E-2</v>
      </c>
      <c r="H53" s="61">
        <f t="shared" si="0"/>
        <v>0.32500000000000001</v>
      </c>
      <c r="I53" s="35">
        <f t="shared" si="1"/>
        <v>0.30833333333333335</v>
      </c>
      <c r="J53" s="112">
        <f t="shared" si="35"/>
        <v>0</v>
      </c>
      <c r="K53" s="25">
        <f>((C53-B53)+(E53-D53))</f>
        <v>0</v>
      </c>
      <c r="L53" s="169"/>
      <c r="M53" s="171"/>
      <c r="N53" s="174"/>
      <c r="O53" s="169"/>
      <c r="P53" s="171"/>
      <c r="Q53" s="174"/>
      <c r="R53" s="158"/>
      <c r="S53" s="161"/>
      <c r="T53" s="176"/>
      <c r="U53" s="158"/>
      <c r="V53" s="171"/>
      <c r="W53" s="174"/>
      <c r="X53" s="141"/>
      <c r="Y53" s="141"/>
      <c r="Z53" s="188"/>
      <c r="AA53" s="197"/>
      <c r="AB53" s="137"/>
    </row>
    <row r="54" spans="1:28" x14ac:dyDescent="0.25">
      <c r="A54" s="16">
        <v>44723</v>
      </c>
      <c r="B54" s="12"/>
      <c r="C54" s="11"/>
      <c r="D54" s="12"/>
      <c r="E54" s="11"/>
      <c r="F54" s="47">
        <f>IF(COUNTIF(B54:E54,0)=4,0,IF(COUNTIF(B54:E54,0)=2,$AD$3,$AC$3))</f>
        <v>0.30833333333333335</v>
      </c>
      <c r="G54" s="48">
        <f>IF(COUNTIF(B54:E54,0)=4,0,IF(COUNTIF(B54:E54,0)=2,$AD$7,$AC$7))</f>
        <v>1.6666666666666666E-2</v>
      </c>
      <c r="H54" s="62">
        <f t="shared" si="0"/>
        <v>0.32500000000000001</v>
      </c>
      <c r="I54" s="47">
        <f t="shared" si="1"/>
        <v>0.30833333333333335</v>
      </c>
      <c r="J54" s="112">
        <f t="shared" si="35"/>
        <v>0</v>
      </c>
      <c r="K54" s="49">
        <f>((C54-B54)+(E54-D54))</f>
        <v>0</v>
      </c>
      <c r="L54" s="169"/>
      <c r="M54" s="171"/>
      <c r="N54" s="174"/>
      <c r="O54" s="169"/>
      <c r="P54" s="171"/>
      <c r="Q54" s="174"/>
      <c r="R54" s="158"/>
      <c r="S54" s="161"/>
      <c r="T54" s="176"/>
      <c r="U54" s="158"/>
      <c r="V54" s="171"/>
      <c r="W54" s="174"/>
      <c r="X54" s="141"/>
      <c r="Y54" s="141"/>
      <c r="Z54" s="188"/>
      <c r="AA54" s="197"/>
      <c r="AB54" s="137"/>
    </row>
    <row r="55" spans="1:28" x14ac:dyDescent="0.25">
      <c r="A55" s="18">
        <v>44724</v>
      </c>
      <c r="B55" s="3"/>
      <c r="C55" s="1"/>
      <c r="D55" s="3"/>
      <c r="E55" s="1"/>
      <c r="F55" s="39"/>
      <c r="G55" s="40"/>
      <c r="H55" s="57"/>
      <c r="I55" s="39"/>
      <c r="J55" s="114"/>
      <c r="K55" s="41"/>
      <c r="L55" s="169"/>
      <c r="M55" s="171"/>
      <c r="N55" s="174"/>
      <c r="O55" s="169"/>
      <c r="P55" s="171"/>
      <c r="Q55" s="174"/>
      <c r="R55" s="158"/>
      <c r="S55" s="161"/>
      <c r="T55" s="176"/>
      <c r="U55" s="158"/>
      <c r="V55" s="171"/>
      <c r="W55" s="174"/>
      <c r="X55" s="141"/>
      <c r="Y55" s="141"/>
      <c r="Z55" s="188"/>
      <c r="AA55" s="197"/>
      <c r="AB55" s="137"/>
    </row>
    <row r="56" spans="1:28" x14ac:dyDescent="0.25">
      <c r="A56" s="19">
        <v>44725</v>
      </c>
      <c r="B56" s="4"/>
      <c r="C56" s="2"/>
      <c r="D56" s="4"/>
      <c r="E56" s="2"/>
      <c r="F56" s="42"/>
      <c r="G56" s="43"/>
      <c r="H56" s="58"/>
      <c r="I56" s="42"/>
      <c r="J56" s="115"/>
      <c r="K56" s="44"/>
      <c r="L56" s="170"/>
      <c r="M56" s="172"/>
      <c r="N56" s="175"/>
      <c r="O56" s="170"/>
      <c r="P56" s="172"/>
      <c r="Q56" s="175"/>
      <c r="R56" s="158"/>
      <c r="S56" s="161"/>
      <c r="T56" s="176"/>
      <c r="U56" s="158"/>
      <c r="V56" s="171"/>
      <c r="W56" s="174"/>
      <c r="X56" s="141"/>
      <c r="Y56" s="141"/>
      <c r="Z56" s="188"/>
      <c r="AA56" s="197"/>
      <c r="AB56" s="137"/>
    </row>
    <row r="57" spans="1:28" x14ac:dyDescent="0.25">
      <c r="A57" s="15">
        <v>44726</v>
      </c>
      <c r="B57" s="9"/>
      <c r="C57" s="8"/>
      <c r="D57" s="9"/>
      <c r="E57" s="8"/>
      <c r="F57" s="33">
        <f>IF(COUNTIF(B57:E57,0)=4,0,IF(COUNTIF(B57:E57,0)=2,$AD$3,$AC$3))</f>
        <v>0.30833333333333335</v>
      </c>
      <c r="G57" s="34">
        <f>IF(COUNTIF(B57:E57,0)=4,0,IF(COUNTIF(B57:E57,0)=2,$AD$7,$AC$7))</f>
        <v>1.6666666666666666E-2</v>
      </c>
      <c r="H57" s="60">
        <f t="shared" si="0"/>
        <v>0.32500000000000001</v>
      </c>
      <c r="I57" s="33">
        <f t="shared" si="1"/>
        <v>0.30833333333333335</v>
      </c>
      <c r="J57" s="112">
        <f t="shared" si="35"/>
        <v>0</v>
      </c>
      <c r="K57" s="24">
        <f>((C57-B57)+(E57-D57))</f>
        <v>0</v>
      </c>
      <c r="L57" s="157">
        <f t="shared" ref="L57:M57" si="36">SUM(F57:F63)</f>
        <v>1.5416666666666667</v>
      </c>
      <c r="M57" s="160">
        <f t="shared" si="36"/>
        <v>8.3333333333333329E-2</v>
      </c>
      <c r="N57" s="173">
        <f t="shared" ref="N57" si="37">L57+M57</f>
        <v>1.625</v>
      </c>
      <c r="O57" s="157">
        <f t="shared" ref="O57:P57" si="38">SUM(I57:I63)</f>
        <v>1.5416666666666667</v>
      </c>
      <c r="P57" s="160">
        <f t="shared" si="38"/>
        <v>0</v>
      </c>
      <c r="Q57" s="173">
        <f t="shared" ref="Q57" si="39">O57+P57</f>
        <v>1.5416666666666667</v>
      </c>
      <c r="R57" s="158"/>
      <c r="S57" s="161"/>
      <c r="T57" s="176"/>
      <c r="U57" s="158"/>
      <c r="V57" s="171"/>
      <c r="W57" s="174"/>
      <c r="X57" s="141">
        <f t="shared" ref="X57" si="40">(SUM(G57:G63)*24)*($AC$14+$AC$14*$AD$14)</f>
        <v>66.207250000000002</v>
      </c>
      <c r="Y57" s="141">
        <f t="shared" ref="Y57" si="41">(SUM(J57:J63)*24)*($AC$14+$AC$14*$AD$14)</f>
        <v>0</v>
      </c>
      <c r="Z57" s="188"/>
      <c r="AA57" s="197"/>
      <c r="AB57" s="137"/>
    </row>
    <row r="58" spans="1:28" x14ac:dyDescent="0.25">
      <c r="A58" s="16">
        <v>44727</v>
      </c>
      <c r="B58" s="12"/>
      <c r="C58" s="11"/>
      <c r="D58" s="12"/>
      <c r="E58" s="11"/>
      <c r="F58" s="35">
        <f>IF(COUNTIF(B58:E58,0)=4,0,IF(COUNTIF(B58:E58,0)=2,$AD$3,$AC$3))</f>
        <v>0.30833333333333335</v>
      </c>
      <c r="G58" s="36">
        <f>IF(COUNTIF(B58:E58,0)=4,0,IF(COUNTIF(B58:E58,0)=2,$AD$7,$AC$7))</f>
        <v>1.6666666666666666E-2</v>
      </c>
      <c r="H58" s="61">
        <f t="shared" si="0"/>
        <v>0.32500000000000001</v>
      </c>
      <c r="I58" s="35">
        <f t="shared" si="1"/>
        <v>0.30833333333333335</v>
      </c>
      <c r="J58" s="112">
        <f t="shared" si="35"/>
        <v>0</v>
      </c>
      <c r="K58" s="25">
        <f>((C58-B58)+(E58-D58))</f>
        <v>0</v>
      </c>
      <c r="L58" s="169"/>
      <c r="M58" s="171"/>
      <c r="N58" s="174"/>
      <c r="O58" s="169"/>
      <c r="P58" s="171"/>
      <c r="Q58" s="174"/>
      <c r="R58" s="158"/>
      <c r="S58" s="161"/>
      <c r="T58" s="176"/>
      <c r="U58" s="158"/>
      <c r="V58" s="171"/>
      <c r="W58" s="174"/>
      <c r="X58" s="141"/>
      <c r="Y58" s="141"/>
      <c r="Z58" s="188"/>
      <c r="AA58" s="197"/>
      <c r="AB58" s="137"/>
    </row>
    <row r="59" spans="1:28" x14ac:dyDescent="0.25">
      <c r="A59" s="16">
        <v>44728</v>
      </c>
      <c r="B59" s="12"/>
      <c r="C59" s="11"/>
      <c r="D59" s="12"/>
      <c r="E59" s="11"/>
      <c r="F59" s="35">
        <f>IF(COUNTIF(B59:E59,0)=4,0,IF(COUNTIF(B59:E59,0)=2,$AD$3,$AC$3))</f>
        <v>0.30833333333333335</v>
      </c>
      <c r="G59" s="36">
        <f>IF(COUNTIF(B59:E59,0)=4,0,IF(COUNTIF(B59:E59,0)=2,$AD$7,$AC$7))</f>
        <v>1.6666666666666666E-2</v>
      </c>
      <c r="H59" s="61">
        <f t="shared" si="0"/>
        <v>0.32500000000000001</v>
      </c>
      <c r="I59" s="35">
        <f t="shared" si="1"/>
        <v>0.30833333333333335</v>
      </c>
      <c r="J59" s="112">
        <f t="shared" si="35"/>
        <v>0</v>
      </c>
      <c r="K59" s="25">
        <f>((C59-B59)+(E59-D59))</f>
        <v>0</v>
      </c>
      <c r="L59" s="169"/>
      <c r="M59" s="171"/>
      <c r="N59" s="174"/>
      <c r="O59" s="169"/>
      <c r="P59" s="171"/>
      <c r="Q59" s="174"/>
      <c r="R59" s="158"/>
      <c r="S59" s="161"/>
      <c r="T59" s="176"/>
      <c r="U59" s="158"/>
      <c r="V59" s="171"/>
      <c r="W59" s="174"/>
      <c r="X59" s="141"/>
      <c r="Y59" s="141"/>
      <c r="Z59" s="188"/>
      <c r="AA59" s="197"/>
      <c r="AB59" s="137"/>
    </row>
    <row r="60" spans="1:28" x14ac:dyDescent="0.25">
      <c r="A60" s="16">
        <v>44729</v>
      </c>
      <c r="B60" s="12"/>
      <c r="C60" s="11"/>
      <c r="D60" s="12"/>
      <c r="E60" s="11"/>
      <c r="F60" s="35">
        <f>IF(COUNTIF(B60:E60,0)=4,0,IF(COUNTIF(B60:E60,0)=2,$AD$3,$AC$3))</f>
        <v>0.30833333333333335</v>
      </c>
      <c r="G60" s="36">
        <f>IF(COUNTIF(B60:E60,0)=4,0,IF(COUNTIF(B60:E60,0)=2,$AD$7,$AC$7))</f>
        <v>1.6666666666666666E-2</v>
      </c>
      <c r="H60" s="61">
        <f t="shared" si="0"/>
        <v>0.32500000000000001</v>
      </c>
      <c r="I60" s="35">
        <f t="shared" si="1"/>
        <v>0.30833333333333335</v>
      </c>
      <c r="J60" s="112">
        <f t="shared" si="35"/>
        <v>0</v>
      </c>
      <c r="K60" s="25">
        <f>((C60-B60)+(E60-D60))</f>
        <v>0</v>
      </c>
      <c r="L60" s="169"/>
      <c r="M60" s="171"/>
      <c r="N60" s="174"/>
      <c r="O60" s="169"/>
      <c r="P60" s="171"/>
      <c r="Q60" s="174"/>
      <c r="R60" s="158"/>
      <c r="S60" s="161"/>
      <c r="T60" s="176"/>
      <c r="U60" s="158"/>
      <c r="V60" s="171"/>
      <c r="W60" s="174"/>
      <c r="X60" s="141"/>
      <c r="Y60" s="141"/>
      <c r="Z60" s="188"/>
      <c r="AA60" s="197"/>
      <c r="AB60" s="137"/>
    </row>
    <row r="61" spans="1:28" x14ac:dyDescent="0.25">
      <c r="A61" s="16">
        <v>44730</v>
      </c>
      <c r="B61" s="12"/>
      <c r="C61" s="11"/>
      <c r="D61" s="12"/>
      <c r="E61" s="11"/>
      <c r="F61" s="47">
        <f>IF(COUNTIF(B61:E61,0)=4,0,IF(COUNTIF(B61:E61,0)=2,$AD$3,$AC$3))</f>
        <v>0.30833333333333335</v>
      </c>
      <c r="G61" s="48">
        <f>IF(COUNTIF(B61:E61,0)=4,0,IF(COUNTIF(B61:E61,0)=2,$AD$7,$AC$7))</f>
        <v>1.6666666666666666E-2</v>
      </c>
      <c r="H61" s="62">
        <f t="shared" si="0"/>
        <v>0.32500000000000001</v>
      </c>
      <c r="I61" s="47">
        <f t="shared" si="1"/>
        <v>0.30833333333333335</v>
      </c>
      <c r="J61" s="112">
        <f t="shared" si="35"/>
        <v>0</v>
      </c>
      <c r="K61" s="49">
        <f>((C61-B61)+(E61-D61))</f>
        <v>0</v>
      </c>
      <c r="L61" s="169"/>
      <c r="M61" s="171"/>
      <c r="N61" s="174"/>
      <c r="O61" s="169"/>
      <c r="P61" s="171"/>
      <c r="Q61" s="174"/>
      <c r="R61" s="158"/>
      <c r="S61" s="161"/>
      <c r="T61" s="176"/>
      <c r="U61" s="158"/>
      <c r="V61" s="171"/>
      <c r="W61" s="174"/>
      <c r="X61" s="141"/>
      <c r="Y61" s="141"/>
      <c r="Z61" s="188"/>
      <c r="AA61" s="197"/>
      <c r="AB61" s="137"/>
    </row>
    <row r="62" spans="1:28" x14ac:dyDescent="0.25">
      <c r="A62" s="18">
        <v>44731</v>
      </c>
      <c r="B62" s="3"/>
      <c r="C62" s="1"/>
      <c r="D62" s="3"/>
      <c r="E62" s="1"/>
      <c r="F62" s="39"/>
      <c r="G62" s="40"/>
      <c r="H62" s="57"/>
      <c r="I62" s="39"/>
      <c r="J62" s="114"/>
      <c r="K62" s="41"/>
      <c r="L62" s="169"/>
      <c r="M62" s="171"/>
      <c r="N62" s="174"/>
      <c r="O62" s="169"/>
      <c r="P62" s="171"/>
      <c r="Q62" s="174"/>
      <c r="R62" s="158"/>
      <c r="S62" s="161"/>
      <c r="T62" s="176"/>
      <c r="U62" s="158"/>
      <c r="V62" s="171"/>
      <c r="W62" s="174"/>
      <c r="X62" s="141"/>
      <c r="Y62" s="141"/>
      <c r="Z62" s="188"/>
      <c r="AA62" s="197"/>
      <c r="AB62" s="137"/>
    </row>
    <row r="63" spans="1:28" x14ac:dyDescent="0.25">
      <c r="A63" s="19">
        <v>44732</v>
      </c>
      <c r="B63" s="4"/>
      <c r="C63" s="2"/>
      <c r="D63" s="4"/>
      <c r="E63" s="2"/>
      <c r="F63" s="42"/>
      <c r="G63" s="43"/>
      <c r="H63" s="58"/>
      <c r="I63" s="42"/>
      <c r="J63" s="115"/>
      <c r="K63" s="44"/>
      <c r="L63" s="170"/>
      <c r="M63" s="172"/>
      <c r="N63" s="175"/>
      <c r="O63" s="170"/>
      <c r="P63" s="172"/>
      <c r="Q63" s="175"/>
      <c r="R63" s="158"/>
      <c r="S63" s="161"/>
      <c r="T63" s="176"/>
      <c r="U63" s="158"/>
      <c r="V63" s="171"/>
      <c r="W63" s="174"/>
      <c r="X63" s="141"/>
      <c r="Y63" s="141"/>
      <c r="Z63" s="188"/>
      <c r="AA63" s="197"/>
      <c r="AB63" s="137"/>
    </row>
    <row r="64" spans="1:28" x14ac:dyDescent="0.25">
      <c r="A64" s="15">
        <v>44733</v>
      </c>
      <c r="B64" s="9"/>
      <c r="C64" s="8"/>
      <c r="D64" s="9"/>
      <c r="E64" s="8"/>
      <c r="F64" s="33">
        <f>IF(COUNTIF(B64:E64,0)=4,0,IF(COUNTIF(B64:E64,0)=2,$AD$3,$AC$3))</f>
        <v>0.30833333333333335</v>
      </c>
      <c r="G64" s="34">
        <f>IF(COUNTIF(B64:E64,0)=4,0,IF(COUNTIF(B64:E64,0)=2,$AD$7,$AC$7))</f>
        <v>1.6666666666666666E-2</v>
      </c>
      <c r="H64" s="60">
        <f t="shared" si="0"/>
        <v>0.32500000000000001</v>
      </c>
      <c r="I64" s="33">
        <f t="shared" si="1"/>
        <v>0.30833333333333335</v>
      </c>
      <c r="J64" s="112">
        <f t="shared" si="35"/>
        <v>0</v>
      </c>
      <c r="K64" s="24">
        <f>((C64-B64)+(E64-D64))</f>
        <v>0</v>
      </c>
      <c r="L64" s="157">
        <f t="shared" ref="L64:M64" si="42">SUM(F64:F70)</f>
        <v>1.5416666666666667</v>
      </c>
      <c r="M64" s="160">
        <f t="shared" si="42"/>
        <v>8.3333333333333329E-2</v>
      </c>
      <c r="N64" s="173">
        <f t="shared" ref="N64" si="43">L64+M64</f>
        <v>1.625</v>
      </c>
      <c r="O64" s="157">
        <f t="shared" ref="O64:P64" si="44">SUM(I64:I70)</f>
        <v>1.5416666666666667</v>
      </c>
      <c r="P64" s="160">
        <f t="shared" si="44"/>
        <v>0</v>
      </c>
      <c r="Q64" s="173">
        <f t="shared" ref="Q64" si="45">O64+P64</f>
        <v>1.5416666666666667</v>
      </c>
      <c r="R64" s="158"/>
      <c r="S64" s="161"/>
      <c r="T64" s="176"/>
      <c r="U64" s="158"/>
      <c r="V64" s="171"/>
      <c r="W64" s="174"/>
      <c r="X64" s="141">
        <f t="shared" ref="X64" si="46">(SUM(G64:G70)*24)*($AC$14+$AC$14*$AD$14)</f>
        <v>66.207250000000002</v>
      </c>
      <c r="Y64" s="141">
        <f t="shared" ref="Y64" si="47">(SUM(J64:J70)*24)*($AC$14+$AC$14*$AD$14)</f>
        <v>0</v>
      </c>
      <c r="Z64" s="188"/>
      <c r="AA64" s="197"/>
      <c r="AB64" s="137"/>
    </row>
    <row r="65" spans="1:30" x14ac:dyDescent="0.25">
      <c r="A65" s="16">
        <v>44734</v>
      </c>
      <c r="B65" s="12"/>
      <c r="C65" s="11"/>
      <c r="D65" s="12"/>
      <c r="E65" s="11"/>
      <c r="F65" s="35">
        <f>IF(COUNTIF(B65:E65,0)=4,0,IF(COUNTIF(B65:E65,0)=2,$AD$3,$AC$3))</f>
        <v>0.30833333333333335</v>
      </c>
      <c r="G65" s="36">
        <f>IF(COUNTIF(B65:E65,0)=4,0,IF(COUNTIF(B65:E65,0)=2,$AD$7,$AC$7))</f>
        <v>1.6666666666666666E-2</v>
      </c>
      <c r="H65" s="61">
        <f t="shared" si="0"/>
        <v>0.32500000000000001</v>
      </c>
      <c r="I65" s="35">
        <f t="shared" si="1"/>
        <v>0.30833333333333335</v>
      </c>
      <c r="J65" s="112">
        <f t="shared" si="35"/>
        <v>0</v>
      </c>
      <c r="K65" s="25">
        <f>((C65-B65)+(E65-D65))</f>
        <v>0</v>
      </c>
      <c r="L65" s="169"/>
      <c r="M65" s="171"/>
      <c r="N65" s="174"/>
      <c r="O65" s="169"/>
      <c r="P65" s="171"/>
      <c r="Q65" s="174"/>
      <c r="R65" s="158"/>
      <c r="S65" s="161"/>
      <c r="T65" s="176"/>
      <c r="U65" s="158"/>
      <c r="V65" s="171"/>
      <c r="W65" s="174"/>
      <c r="X65" s="141"/>
      <c r="Y65" s="141"/>
      <c r="Z65" s="188"/>
      <c r="AA65" s="197"/>
      <c r="AB65" s="137"/>
    </row>
    <row r="66" spans="1:30" x14ac:dyDescent="0.25">
      <c r="A66" s="16">
        <v>44735</v>
      </c>
      <c r="B66" s="12"/>
      <c r="C66" s="11"/>
      <c r="D66" s="12"/>
      <c r="E66" s="11"/>
      <c r="F66" s="35">
        <f>IF(COUNTIF(B66:E66,0)=4,0,IF(COUNTIF(B66:E66,0)=2,$AD$3,$AC$3))</f>
        <v>0.30833333333333335</v>
      </c>
      <c r="G66" s="36">
        <f>IF(COUNTIF(B66:E66,0)=4,0,IF(COUNTIF(B66:E66,0)=2,$AD$7,$AC$7))</f>
        <v>1.6666666666666666E-2</v>
      </c>
      <c r="H66" s="61">
        <f t="shared" si="0"/>
        <v>0.32500000000000001</v>
      </c>
      <c r="I66" s="35">
        <f t="shared" si="1"/>
        <v>0.30833333333333335</v>
      </c>
      <c r="J66" s="112">
        <f t="shared" si="35"/>
        <v>0</v>
      </c>
      <c r="K66" s="25">
        <f>((C66-B66)+(E66-D66))</f>
        <v>0</v>
      </c>
      <c r="L66" s="169"/>
      <c r="M66" s="171"/>
      <c r="N66" s="174"/>
      <c r="O66" s="169"/>
      <c r="P66" s="171"/>
      <c r="Q66" s="174"/>
      <c r="R66" s="158"/>
      <c r="S66" s="161"/>
      <c r="T66" s="176"/>
      <c r="U66" s="158"/>
      <c r="V66" s="171"/>
      <c r="W66" s="174"/>
      <c r="X66" s="141"/>
      <c r="Y66" s="141"/>
      <c r="Z66" s="188"/>
      <c r="AA66" s="197"/>
      <c r="AB66" s="137"/>
    </row>
    <row r="67" spans="1:30" x14ac:dyDescent="0.25">
      <c r="A67" s="16">
        <v>44736</v>
      </c>
      <c r="B67" s="12"/>
      <c r="C67" s="11"/>
      <c r="D67" s="12"/>
      <c r="E67" s="11"/>
      <c r="F67" s="35">
        <f>IF(COUNTIF(B67:E67,0)=4,0,IF(COUNTIF(B67:E67,0)=2,$AD$3,$AC$3))</f>
        <v>0.30833333333333335</v>
      </c>
      <c r="G67" s="36">
        <f>IF(COUNTIF(B67:E67,0)=4,0,IF(COUNTIF(B67:E67,0)=2,$AD$7,$AC$7))</f>
        <v>1.6666666666666666E-2</v>
      </c>
      <c r="H67" s="61">
        <f t="shared" si="0"/>
        <v>0.32500000000000001</v>
      </c>
      <c r="I67" s="35">
        <f t="shared" si="1"/>
        <v>0.30833333333333335</v>
      </c>
      <c r="J67" s="112">
        <f t="shared" si="35"/>
        <v>0</v>
      </c>
      <c r="K67" s="25">
        <f>((C67-B67)+(E67-D67))</f>
        <v>0</v>
      </c>
      <c r="L67" s="169"/>
      <c r="M67" s="171"/>
      <c r="N67" s="174"/>
      <c r="O67" s="169"/>
      <c r="P67" s="171"/>
      <c r="Q67" s="174"/>
      <c r="R67" s="158"/>
      <c r="S67" s="161"/>
      <c r="T67" s="176"/>
      <c r="U67" s="158"/>
      <c r="V67" s="171"/>
      <c r="W67" s="174"/>
      <c r="X67" s="141"/>
      <c r="Y67" s="141"/>
      <c r="Z67" s="188"/>
      <c r="AA67" s="197"/>
      <c r="AB67" s="137"/>
    </row>
    <row r="68" spans="1:30" x14ac:dyDescent="0.25">
      <c r="A68" s="16">
        <v>44737</v>
      </c>
      <c r="B68" s="12"/>
      <c r="C68" s="11"/>
      <c r="D68" s="12"/>
      <c r="E68" s="11"/>
      <c r="F68" s="47">
        <f>IF(COUNTIF(B68:E68,0)=4,0,IF(COUNTIF(B68:E68,0)=2,$AD$3,$AC$3))</f>
        <v>0.30833333333333335</v>
      </c>
      <c r="G68" s="48">
        <f>IF(COUNTIF(B68:E68,0)=4,0,IF(COUNTIF(B68:E68,0)=2,$AD$7,$AC$7))</f>
        <v>1.6666666666666666E-2</v>
      </c>
      <c r="H68" s="62">
        <f t="shared" ref="H68:H131" si="48">SUM(F68:G68)</f>
        <v>0.32500000000000001</v>
      </c>
      <c r="I68" s="47">
        <f t="shared" ref="I68:I131" si="49">F68</f>
        <v>0.30833333333333335</v>
      </c>
      <c r="J68" s="112">
        <f t="shared" si="35"/>
        <v>0</v>
      </c>
      <c r="K68" s="49">
        <f>((C68-B68)+(E68-D68))</f>
        <v>0</v>
      </c>
      <c r="L68" s="169"/>
      <c r="M68" s="171"/>
      <c r="N68" s="174"/>
      <c r="O68" s="169"/>
      <c r="P68" s="171"/>
      <c r="Q68" s="174"/>
      <c r="R68" s="158"/>
      <c r="S68" s="161"/>
      <c r="T68" s="176"/>
      <c r="U68" s="158"/>
      <c r="V68" s="171"/>
      <c r="W68" s="174"/>
      <c r="X68" s="141"/>
      <c r="Y68" s="141"/>
      <c r="Z68" s="188"/>
      <c r="AA68" s="197"/>
      <c r="AB68" s="137"/>
    </row>
    <row r="69" spans="1:30" x14ac:dyDescent="0.25">
      <c r="A69" s="18">
        <v>44738</v>
      </c>
      <c r="B69" s="3"/>
      <c r="C69" s="1"/>
      <c r="D69" s="3"/>
      <c r="E69" s="1"/>
      <c r="F69" s="39"/>
      <c r="G69" s="40"/>
      <c r="H69" s="57"/>
      <c r="I69" s="39"/>
      <c r="J69" s="114"/>
      <c r="K69" s="41"/>
      <c r="L69" s="169"/>
      <c r="M69" s="171"/>
      <c r="N69" s="174"/>
      <c r="O69" s="169"/>
      <c r="P69" s="171"/>
      <c r="Q69" s="174"/>
      <c r="R69" s="158"/>
      <c r="S69" s="161"/>
      <c r="T69" s="176"/>
      <c r="U69" s="158"/>
      <c r="V69" s="171"/>
      <c r="W69" s="174"/>
      <c r="X69" s="141"/>
      <c r="Y69" s="141"/>
      <c r="Z69" s="188"/>
      <c r="AA69" s="197"/>
      <c r="AB69" s="137"/>
    </row>
    <row r="70" spans="1:30" x14ac:dyDescent="0.25">
      <c r="A70" s="19">
        <v>44739</v>
      </c>
      <c r="B70" s="4"/>
      <c r="C70" s="2"/>
      <c r="D70" s="4"/>
      <c r="E70" s="2"/>
      <c r="F70" s="42"/>
      <c r="G70" s="43"/>
      <c r="H70" s="58"/>
      <c r="I70" s="42"/>
      <c r="J70" s="115"/>
      <c r="K70" s="44"/>
      <c r="L70" s="170"/>
      <c r="M70" s="172"/>
      <c r="N70" s="175"/>
      <c r="O70" s="170"/>
      <c r="P70" s="172"/>
      <c r="Q70" s="175"/>
      <c r="R70" s="158"/>
      <c r="S70" s="161"/>
      <c r="T70" s="176"/>
      <c r="U70" s="158"/>
      <c r="V70" s="171"/>
      <c r="W70" s="174"/>
      <c r="X70" s="141"/>
      <c r="Y70" s="141"/>
      <c r="Z70" s="188"/>
      <c r="AA70" s="197"/>
      <c r="AB70" s="137"/>
    </row>
    <row r="71" spans="1:30" x14ac:dyDescent="0.25">
      <c r="A71" s="15">
        <v>44740</v>
      </c>
      <c r="B71" s="9"/>
      <c r="C71" s="8"/>
      <c r="D71" s="9"/>
      <c r="E71" s="8"/>
      <c r="F71" s="33">
        <f>IF(COUNTIF(B71:E71,0)=4,0,IF(COUNTIF(B71:E71,0)=2,$AD$3,$AC$3))</f>
        <v>0.30833333333333335</v>
      </c>
      <c r="G71" s="34">
        <f>IF(COUNTIF(B71:E71,0)=4,0,IF(COUNTIF(B71:E71,0)=2,$AD$7,$AC$7))</f>
        <v>1.6666666666666666E-2</v>
      </c>
      <c r="H71" s="60">
        <f t="shared" si="48"/>
        <v>0.32500000000000001</v>
      </c>
      <c r="I71" s="33">
        <f t="shared" si="49"/>
        <v>0.30833333333333335</v>
      </c>
      <c r="J71" s="112">
        <f t="shared" si="35"/>
        <v>0</v>
      </c>
      <c r="K71" s="24">
        <f>((C71-B71)+(E71-D71))</f>
        <v>0</v>
      </c>
      <c r="L71" s="157">
        <f t="shared" ref="L71:M71" si="50">SUM(F71:F77)</f>
        <v>1.5416666666666667</v>
      </c>
      <c r="M71" s="160">
        <f t="shared" si="50"/>
        <v>8.3333333333333329E-2</v>
      </c>
      <c r="N71" s="173">
        <f t="shared" ref="N71" si="51">L71+M71</f>
        <v>1.625</v>
      </c>
      <c r="O71" s="157">
        <f t="shared" ref="O71:P71" si="52">SUM(I71:I77)</f>
        <v>1.5416666666666667</v>
      </c>
      <c r="P71" s="160">
        <f t="shared" si="52"/>
        <v>0</v>
      </c>
      <c r="Q71" s="173">
        <f t="shared" ref="Q71" si="53">O71+P71</f>
        <v>1.5416666666666667</v>
      </c>
      <c r="R71" s="158"/>
      <c r="S71" s="161"/>
      <c r="T71" s="176"/>
      <c r="U71" s="158"/>
      <c r="V71" s="171"/>
      <c r="W71" s="174"/>
      <c r="X71" s="141">
        <f>(SUM(G71:G72)*24)*($AC$14+$AC$14*$AD$14)</f>
        <v>26.482900000000001</v>
      </c>
      <c r="Y71" s="141">
        <f>(SUM(J71:J72)*24)*($AC$14+$AC$14*$AD$14)</f>
        <v>0</v>
      </c>
      <c r="Z71" s="188"/>
      <c r="AA71" s="197"/>
      <c r="AB71" s="241"/>
    </row>
    <row r="72" spans="1:30" x14ac:dyDescent="0.25">
      <c r="A72" s="16">
        <v>44741</v>
      </c>
      <c r="B72" s="12"/>
      <c r="C72" s="11"/>
      <c r="D72" s="12"/>
      <c r="E72" s="11"/>
      <c r="F72" s="35">
        <f>IF(COUNTIF(B72:E72,0)=4,0,IF(COUNTIF(B72:E72,0)=2,$AD$3,$AC$3))</f>
        <v>0.30833333333333335</v>
      </c>
      <c r="G72" s="36">
        <f>IF(COUNTIF(B72:E72,0)=4,0,IF(COUNTIF(B72:E72,0)=2,$AD$7,$AC$7))</f>
        <v>1.6666666666666666E-2</v>
      </c>
      <c r="H72" s="61">
        <f t="shared" si="48"/>
        <v>0.32500000000000001</v>
      </c>
      <c r="I72" s="35">
        <f t="shared" si="49"/>
        <v>0.30833333333333335</v>
      </c>
      <c r="J72" s="112">
        <f t="shared" si="35"/>
        <v>0</v>
      </c>
      <c r="K72" s="25">
        <f>((C72-B72)+(E72-D72))</f>
        <v>0</v>
      </c>
      <c r="L72" s="169"/>
      <c r="M72" s="171"/>
      <c r="N72" s="174"/>
      <c r="O72" s="169"/>
      <c r="P72" s="171"/>
      <c r="Q72" s="174"/>
      <c r="R72" s="159"/>
      <c r="S72" s="162"/>
      <c r="T72" s="177"/>
      <c r="U72" s="159"/>
      <c r="V72" s="172"/>
      <c r="W72" s="175"/>
      <c r="X72" s="141"/>
      <c r="Y72" s="141"/>
      <c r="Z72" s="188"/>
      <c r="AA72" s="197"/>
      <c r="AB72" s="241"/>
    </row>
    <row r="73" spans="1:30" x14ac:dyDescent="0.25">
      <c r="A73" s="16">
        <v>44742</v>
      </c>
      <c r="B73" s="12"/>
      <c r="C73" s="11"/>
      <c r="D73" s="12"/>
      <c r="E73" s="11"/>
      <c r="F73" s="35">
        <f>IF(COUNTIF(B73:E73,0)=4,0,IF(COUNTIF(B73:E73,0)=2,$AD$3,$AC$3))</f>
        <v>0.30833333333333335</v>
      </c>
      <c r="G73" s="36">
        <f>IF(COUNTIF(B73:E73,0)=4,0,IF(COUNTIF(B73:E73,0)=2,$AD$7,$AC$7))</f>
        <v>1.6666666666666666E-2</v>
      </c>
      <c r="H73" s="61">
        <f t="shared" si="48"/>
        <v>0.32500000000000001</v>
      </c>
      <c r="I73" s="35">
        <f t="shared" si="49"/>
        <v>0.30833333333333335</v>
      </c>
      <c r="J73" s="112">
        <f t="shared" si="35"/>
        <v>0</v>
      </c>
      <c r="K73" s="25">
        <f>((C73-B73)+(E73-D73))</f>
        <v>0</v>
      </c>
      <c r="L73" s="169"/>
      <c r="M73" s="171"/>
      <c r="N73" s="174"/>
      <c r="O73" s="169"/>
      <c r="P73" s="171"/>
      <c r="Q73" s="174"/>
      <c r="R73" s="157">
        <f>SUM(F73:F103)</f>
        <v>6.7833333333333368</v>
      </c>
      <c r="S73" s="160">
        <f>SUM(G73:G103)</f>
        <v>0.36666666666666664</v>
      </c>
      <c r="T73" s="173">
        <f>R73+S73</f>
        <v>7.150000000000003</v>
      </c>
      <c r="U73" s="157">
        <f>SUM(I73:I103)</f>
        <v>6.7833333333333368</v>
      </c>
      <c r="V73" s="160">
        <f>SUM(J73:J103)</f>
        <v>0</v>
      </c>
      <c r="W73" s="163">
        <f>U73+V73</f>
        <v>6.7833333333333368</v>
      </c>
      <c r="X73" s="141">
        <f>(SUM(G73:G77)*24)*($AC$14+$AC$14*$AD$14)</f>
        <v>39.724350000000008</v>
      </c>
      <c r="Y73" s="141">
        <f>(SUM(J73:J77)*24)*($AC$14+$AC$14*$AD$14)</f>
        <v>0</v>
      </c>
      <c r="Z73" s="183"/>
      <c r="AA73" s="197"/>
      <c r="AB73" s="241"/>
    </row>
    <row r="74" spans="1:30" x14ac:dyDescent="0.25">
      <c r="A74" s="16">
        <v>44743</v>
      </c>
      <c r="B74" s="12"/>
      <c r="C74" s="11"/>
      <c r="D74" s="12"/>
      <c r="E74" s="11"/>
      <c r="F74" s="35">
        <f>IF(COUNTIF(B74:E74,0)=4,0,IF(COUNTIF(B74:E74,0)=2,$AD$3,$AC$3))</f>
        <v>0.30833333333333335</v>
      </c>
      <c r="G74" s="36">
        <f>IF(COUNTIF(B74:E74,0)=4,0,IF(COUNTIF(B74:E74,0)=2,$AD$7,$AC$7))</f>
        <v>1.6666666666666666E-2</v>
      </c>
      <c r="H74" s="61">
        <f t="shared" si="48"/>
        <v>0.32500000000000001</v>
      </c>
      <c r="I74" s="35">
        <f t="shared" si="49"/>
        <v>0.30833333333333335</v>
      </c>
      <c r="J74" s="112">
        <f t="shared" si="35"/>
        <v>0</v>
      </c>
      <c r="K74" s="25">
        <f>((C74-B74)+(E74-D74))</f>
        <v>0</v>
      </c>
      <c r="L74" s="169"/>
      <c r="M74" s="171"/>
      <c r="N74" s="174"/>
      <c r="O74" s="169"/>
      <c r="P74" s="171"/>
      <c r="Q74" s="174"/>
      <c r="R74" s="158"/>
      <c r="S74" s="161"/>
      <c r="T74" s="176"/>
      <c r="U74" s="158"/>
      <c r="V74" s="161"/>
      <c r="W74" s="164"/>
      <c r="X74" s="141"/>
      <c r="Y74" s="141"/>
      <c r="Z74" s="183"/>
      <c r="AA74" s="197"/>
      <c r="AB74" s="241"/>
      <c r="AC74" s="119"/>
    </row>
    <row r="75" spans="1:30" x14ac:dyDescent="0.25">
      <c r="A75" s="16">
        <v>44744</v>
      </c>
      <c r="B75" s="12"/>
      <c r="C75" s="11"/>
      <c r="D75" s="12"/>
      <c r="E75" s="11"/>
      <c r="F75" s="47">
        <f>IF(COUNTIF(B75:E75,0)=4,0,IF(COUNTIF(B75:E75,0)=2,$AD$3,$AC$3))</f>
        <v>0.30833333333333335</v>
      </c>
      <c r="G75" s="48">
        <f>IF(COUNTIF(B75:E75,0)=4,0,IF(COUNTIF(B75:E75,0)=2,$AD$7,$AC$7))</f>
        <v>1.6666666666666666E-2</v>
      </c>
      <c r="H75" s="62">
        <f t="shared" si="48"/>
        <v>0.32500000000000001</v>
      </c>
      <c r="I75" s="47">
        <f t="shared" si="49"/>
        <v>0.30833333333333335</v>
      </c>
      <c r="J75" s="112">
        <f t="shared" si="35"/>
        <v>0</v>
      </c>
      <c r="K75" s="49">
        <f>((C75-B75)+(E75-D75))</f>
        <v>0</v>
      </c>
      <c r="L75" s="169"/>
      <c r="M75" s="171"/>
      <c r="N75" s="174"/>
      <c r="O75" s="169"/>
      <c r="P75" s="171"/>
      <c r="Q75" s="174"/>
      <c r="R75" s="158"/>
      <c r="S75" s="161"/>
      <c r="T75" s="176"/>
      <c r="U75" s="158"/>
      <c r="V75" s="161"/>
      <c r="W75" s="164"/>
      <c r="X75" s="141"/>
      <c r="Y75" s="141"/>
      <c r="Z75" s="183"/>
      <c r="AA75" s="197"/>
      <c r="AB75" s="241"/>
      <c r="AC75" s="119"/>
    </row>
    <row r="76" spans="1:30" x14ac:dyDescent="0.25">
      <c r="A76" s="18">
        <v>44745</v>
      </c>
      <c r="B76" s="3"/>
      <c r="C76" s="1"/>
      <c r="D76" s="3"/>
      <c r="E76" s="1"/>
      <c r="F76" s="39"/>
      <c r="G76" s="40"/>
      <c r="H76" s="57"/>
      <c r="I76" s="39"/>
      <c r="J76" s="114"/>
      <c r="K76" s="41"/>
      <c r="L76" s="169"/>
      <c r="M76" s="171"/>
      <c r="N76" s="174"/>
      <c r="O76" s="169"/>
      <c r="P76" s="171"/>
      <c r="Q76" s="174"/>
      <c r="R76" s="158"/>
      <c r="S76" s="161"/>
      <c r="T76" s="176"/>
      <c r="U76" s="158"/>
      <c r="V76" s="161"/>
      <c r="W76" s="164"/>
      <c r="X76" s="141"/>
      <c r="Y76" s="141"/>
      <c r="Z76" s="183"/>
      <c r="AA76" s="197"/>
      <c r="AB76" s="241"/>
      <c r="AC76" s="119"/>
      <c r="AD76" s="119"/>
    </row>
    <row r="77" spans="1:30" x14ac:dyDescent="0.25">
      <c r="A77" s="19">
        <v>44746</v>
      </c>
      <c r="B77" s="4"/>
      <c r="C77" s="2"/>
      <c r="D77" s="4"/>
      <c r="E77" s="2"/>
      <c r="F77" s="42"/>
      <c r="G77" s="43"/>
      <c r="H77" s="58"/>
      <c r="I77" s="42"/>
      <c r="J77" s="115"/>
      <c r="K77" s="44"/>
      <c r="L77" s="170"/>
      <c r="M77" s="172"/>
      <c r="N77" s="175"/>
      <c r="O77" s="170"/>
      <c r="P77" s="172"/>
      <c r="Q77" s="175"/>
      <c r="R77" s="158"/>
      <c r="S77" s="161"/>
      <c r="T77" s="176"/>
      <c r="U77" s="158"/>
      <c r="V77" s="161"/>
      <c r="W77" s="164"/>
      <c r="X77" s="141"/>
      <c r="Y77" s="141"/>
      <c r="Z77" s="183"/>
      <c r="AA77" s="197"/>
      <c r="AB77" s="241"/>
    </row>
    <row r="78" spans="1:30" x14ac:dyDescent="0.25">
      <c r="A78" s="15">
        <v>44747</v>
      </c>
      <c r="B78" s="9"/>
      <c r="C78" s="8"/>
      <c r="D78" s="9"/>
      <c r="E78" s="8"/>
      <c r="F78" s="33">
        <f>IF(COUNTIF(B78:E78,0)=4,0,IF(COUNTIF(B78:E78,0)=2,$AD$3,$AC$3))</f>
        <v>0.30833333333333335</v>
      </c>
      <c r="G78" s="34">
        <f>IF(COUNTIF(B78:E78,0)=4,0,IF(COUNTIF(B78:E78,0)=2,$AD$7,$AC$7))</f>
        <v>1.6666666666666666E-2</v>
      </c>
      <c r="H78" s="60">
        <f t="shared" si="48"/>
        <v>0.32500000000000001</v>
      </c>
      <c r="I78" s="33">
        <f t="shared" si="49"/>
        <v>0.30833333333333335</v>
      </c>
      <c r="J78" s="112">
        <f t="shared" si="35"/>
        <v>0</v>
      </c>
      <c r="K78" s="24">
        <f>((C78-B78)+(E78-D78))</f>
        <v>0</v>
      </c>
      <c r="L78" s="157">
        <f t="shared" ref="L78:M78" si="54">SUM(F78:F84)</f>
        <v>1.5416666666666667</v>
      </c>
      <c r="M78" s="160">
        <f t="shared" si="54"/>
        <v>8.3333333333333329E-2</v>
      </c>
      <c r="N78" s="173">
        <f t="shared" ref="N78" si="55">L78+M78</f>
        <v>1.625</v>
      </c>
      <c r="O78" s="157">
        <f t="shared" ref="O78:P78" si="56">SUM(I78:I84)</f>
        <v>1.5416666666666667</v>
      </c>
      <c r="P78" s="160">
        <f t="shared" si="56"/>
        <v>0</v>
      </c>
      <c r="Q78" s="173">
        <f t="shared" ref="Q78" si="57">O78+P78</f>
        <v>1.5416666666666667</v>
      </c>
      <c r="R78" s="158"/>
      <c r="S78" s="161"/>
      <c r="T78" s="176"/>
      <c r="U78" s="158"/>
      <c r="V78" s="161"/>
      <c r="W78" s="164"/>
      <c r="X78" s="141">
        <f>(SUM(G78:G84)*24)*($AC$14+$AC$14*$AD$14)</f>
        <v>66.207250000000002</v>
      </c>
      <c r="Y78" s="141">
        <f>(SUM(J78:J84)*24)*($AC$14+$AC$14*$AD$14)</f>
        <v>0</v>
      </c>
      <c r="Z78" s="183"/>
      <c r="AA78" s="197"/>
      <c r="AB78" s="241"/>
    </row>
    <row r="79" spans="1:30" x14ac:dyDescent="0.25">
      <c r="A79" s="16">
        <v>44748</v>
      </c>
      <c r="B79" s="12"/>
      <c r="C79" s="11"/>
      <c r="D79" s="12"/>
      <c r="E79" s="11"/>
      <c r="F79" s="35">
        <f>IF(COUNTIF(B79:E79,0)=4,0,IF(COUNTIF(B79:E79,0)=2,$AD$3,$AC$3))</f>
        <v>0.30833333333333335</v>
      </c>
      <c r="G79" s="36">
        <f>IF(COUNTIF(B79:E79,0)=4,0,IF(COUNTIF(B79:E79,0)=2,$AD$7,$AC$7))</f>
        <v>1.6666666666666666E-2</v>
      </c>
      <c r="H79" s="61">
        <f t="shared" si="48"/>
        <v>0.32500000000000001</v>
      </c>
      <c r="I79" s="35">
        <f t="shared" si="49"/>
        <v>0.30833333333333335</v>
      </c>
      <c r="J79" s="112">
        <f t="shared" si="35"/>
        <v>0</v>
      </c>
      <c r="K79" s="25">
        <f>((C79-B79)+(E79-D79))</f>
        <v>0</v>
      </c>
      <c r="L79" s="169"/>
      <c r="M79" s="171"/>
      <c r="N79" s="174"/>
      <c r="O79" s="169"/>
      <c r="P79" s="171"/>
      <c r="Q79" s="174"/>
      <c r="R79" s="158"/>
      <c r="S79" s="161"/>
      <c r="T79" s="176"/>
      <c r="U79" s="158"/>
      <c r="V79" s="161"/>
      <c r="W79" s="164"/>
      <c r="X79" s="141"/>
      <c r="Y79" s="141"/>
      <c r="Z79" s="183"/>
      <c r="AA79" s="197"/>
      <c r="AB79" s="241"/>
    </row>
    <row r="80" spans="1:30" x14ac:dyDescent="0.25">
      <c r="A80" s="16">
        <v>44749</v>
      </c>
      <c r="B80" s="12"/>
      <c r="C80" s="11"/>
      <c r="D80" s="12"/>
      <c r="E80" s="11"/>
      <c r="F80" s="35">
        <f>IF(COUNTIF(B80:E80,0)=4,0,IF(COUNTIF(B80:E80,0)=2,$AD$3,$AC$3))</f>
        <v>0.30833333333333335</v>
      </c>
      <c r="G80" s="36">
        <f>IF(COUNTIF(B80:E80,0)=4,0,IF(COUNTIF(B80:E80,0)=2,$AD$7,$AC$7))</f>
        <v>1.6666666666666666E-2</v>
      </c>
      <c r="H80" s="61">
        <f t="shared" si="48"/>
        <v>0.32500000000000001</v>
      </c>
      <c r="I80" s="35">
        <f t="shared" si="49"/>
        <v>0.30833333333333335</v>
      </c>
      <c r="J80" s="112">
        <f t="shared" si="35"/>
        <v>0</v>
      </c>
      <c r="K80" s="25">
        <f>((C80-B80)+(E80-D80))</f>
        <v>0</v>
      </c>
      <c r="L80" s="169"/>
      <c r="M80" s="171"/>
      <c r="N80" s="174"/>
      <c r="O80" s="169"/>
      <c r="P80" s="171"/>
      <c r="Q80" s="174"/>
      <c r="R80" s="158"/>
      <c r="S80" s="161"/>
      <c r="T80" s="176"/>
      <c r="U80" s="158"/>
      <c r="V80" s="161"/>
      <c r="W80" s="164"/>
      <c r="X80" s="141"/>
      <c r="Y80" s="141"/>
      <c r="Z80" s="183"/>
      <c r="AA80" s="197"/>
      <c r="AB80" s="241"/>
    </row>
    <row r="81" spans="1:28" x14ac:dyDescent="0.25">
      <c r="A81" s="16">
        <v>44750</v>
      </c>
      <c r="B81" s="12"/>
      <c r="C81" s="11"/>
      <c r="D81" s="12"/>
      <c r="E81" s="11"/>
      <c r="F81" s="35">
        <f>IF(COUNTIF(B81:E81,0)=4,0,IF(COUNTIF(B81:E81,0)=2,$AD$3,$AC$3))</f>
        <v>0.30833333333333335</v>
      </c>
      <c r="G81" s="36">
        <f>IF(COUNTIF(B81:E81,0)=4,0,IF(COUNTIF(B81:E81,0)=2,$AD$7,$AC$7))</f>
        <v>1.6666666666666666E-2</v>
      </c>
      <c r="H81" s="61">
        <f t="shared" si="48"/>
        <v>0.32500000000000001</v>
      </c>
      <c r="I81" s="35">
        <f t="shared" si="49"/>
        <v>0.30833333333333335</v>
      </c>
      <c r="J81" s="112">
        <f t="shared" si="35"/>
        <v>0</v>
      </c>
      <c r="K81" s="25">
        <f>((C81-B81)+(E81-D81))</f>
        <v>0</v>
      </c>
      <c r="L81" s="169"/>
      <c r="M81" s="171"/>
      <c r="N81" s="174"/>
      <c r="O81" s="169"/>
      <c r="P81" s="171"/>
      <c r="Q81" s="174"/>
      <c r="R81" s="158"/>
      <c r="S81" s="161"/>
      <c r="T81" s="176"/>
      <c r="U81" s="158"/>
      <c r="V81" s="161"/>
      <c r="W81" s="164"/>
      <c r="X81" s="141"/>
      <c r="Y81" s="141"/>
      <c r="Z81" s="183"/>
      <c r="AA81" s="197"/>
      <c r="AB81" s="241"/>
    </row>
    <row r="82" spans="1:28" x14ac:dyDescent="0.25">
      <c r="A82" s="16">
        <v>44751</v>
      </c>
      <c r="B82" s="12"/>
      <c r="C82" s="11"/>
      <c r="D82" s="12"/>
      <c r="E82" s="11"/>
      <c r="F82" s="47">
        <f>IF(COUNTIF(B82:E82,0)=4,0,IF(COUNTIF(B82:E82,0)=2,$AD$3,$AC$3))</f>
        <v>0.30833333333333335</v>
      </c>
      <c r="G82" s="48">
        <f>IF(COUNTIF(B82:E82,0)=4,0,IF(COUNTIF(B82:E82,0)=2,$AD$7,$AC$7))</f>
        <v>1.6666666666666666E-2</v>
      </c>
      <c r="H82" s="62">
        <f t="shared" si="48"/>
        <v>0.32500000000000001</v>
      </c>
      <c r="I82" s="47">
        <f t="shared" si="49"/>
        <v>0.30833333333333335</v>
      </c>
      <c r="J82" s="112">
        <f t="shared" si="35"/>
        <v>0</v>
      </c>
      <c r="K82" s="49">
        <f>((C82-B82)+(E82-D82))</f>
        <v>0</v>
      </c>
      <c r="L82" s="169"/>
      <c r="M82" s="171"/>
      <c r="N82" s="174"/>
      <c r="O82" s="169"/>
      <c r="P82" s="171"/>
      <c r="Q82" s="174"/>
      <c r="R82" s="158"/>
      <c r="S82" s="161"/>
      <c r="T82" s="176"/>
      <c r="U82" s="158"/>
      <c r="V82" s="161"/>
      <c r="W82" s="164"/>
      <c r="X82" s="141"/>
      <c r="Y82" s="141"/>
      <c r="Z82" s="183"/>
      <c r="AA82" s="197"/>
      <c r="AB82" s="241"/>
    </row>
    <row r="83" spans="1:28" x14ac:dyDescent="0.25">
      <c r="A83" s="18">
        <v>44752</v>
      </c>
      <c r="B83" s="3"/>
      <c r="C83" s="1"/>
      <c r="D83" s="3"/>
      <c r="E83" s="1"/>
      <c r="F83" s="39"/>
      <c r="G83" s="40"/>
      <c r="H83" s="57"/>
      <c r="I83" s="39"/>
      <c r="J83" s="114"/>
      <c r="K83" s="41"/>
      <c r="L83" s="169"/>
      <c r="M83" s="171"/>
      <c r="N83" s="174"/>
      <c r="O83" s="169"/>
      <c r="P83" s="171"/>
      <c r="Q83" s="174"/>
      <c r="R83" s="158"/>
      <c r="S83" s="161"/>
      <c r="T83" s="176"/>
      <c r="U83" s="158"/>
      <c r="V83" s="161"/>
      <c r="W83" s="164"/>
      <c r="X83" s="141"/>
      <c r="Y83" s="141"/>
      <c r="Z83" s="183"/>
      <c r="AA83" s="197"/>
      <c r="AB83" s="241"/>
    </row>
    <row r="84" spans="1:28" x14ac:dyDescent="0.25">
      <c r="A84" s="19">
        <v>44753</v>
      </c>
      <c r="B84" s="4"/>
      <c r="C84" s="2"/>
      <c r="D84" s="4"/>
      <c r="E84" s="2"/>
      <c r="F84" s="42"/>
      <c r="G84" s="43"/>
      <c r="H84" s="58"/>
      <c r="I84" s="42"/>
      <c r="J84" s="115"/>
      <c r="K84" s="44"/>
      <c r="L84" s="170"/>
      <c r="M84" s="172"/>
      <c r="N84" s="175"/>
      <c r="O84" s="170"/>
      <c r="P84" s="172"/>
      <c r="Q84" s="175"/>
      <c r="R84" s="158"/>
      <c r="S84" s="161"/>
      <c r="T84" s="176"/>
      <c r="U84" s="158"/>
      <c r="V84" s="161"/>
      <c r="W84" s="164"/>
      <c r="X84" s="141"/>
      <c r="Y84" s="141"/>
      <c r="Z84" s="183"/>
      <c r="AA84" s="197"/>
      <c r="AB84" s="241"/>
    </row>
    <row r="85" spans="1:28" x14ac:dyDescent="0.25">
      <c r="A85" s="15">
        <v>44754</v>
      </c>
      <c r="B85" s="9"/>
      <c r="C85" s="8"/>
      <c r="D85" s="9"/>
      <c r="E85" s="8"/>
      <c r="F85" s="33">
        <f>IF(COUNTIF(B85:E85,0)=4,0,IF(COUNTIF(B85:E85,0)=2,$AD$3,$AC$3))</f>
        <v>0.30833333333333335</v>
      </c>
      <c r="G85" s="34">
        <f>IF(COUNTIF(B85:E85,0)=4,0,IF(COUNTIF(B85:E85,0)=2,$AD$7,$AC$7))</f>
        <v>1.6666666666666666E-2</v>
      </c>
      <c r="H85" s="60">
        <f t="shared" si="48"/>
        <v>0.32500000000000001</v>
      </c>
      <c r="I85" s="33">
        <f t="shared" si="49"/>
        <v>0.30833333333333335</v>
      </c>
      <c r="J85" s="112">
        <f t="shared" si="35"/>
        <v>0</v>
      </c>
      <c r="K85" s="24">
        <f>((C85-B85)+(E85-D85))</f>
        <v>0</v>
      </c>
      <c r="L85" s="157">
        <f t="shared" ref="L85:M85" si="58">SUM(F85:F91)</f>
        <v>1.2333333333333334</v>
      </c>
      <c r="M85" s="160">
        <f t="shared" si="58"/>
        <v>6.6666666666666666E-2</v>
      </c>
      <c r="N85" s="173">
        <f t="shared" ref="N85" si="59">L85+M85</f>
        <v>1.3</v>
      </c>
      <c r="O85" s="157">
        <f t="shared" ref="O85:P85" si="60">SUM(I85:I91)</f>
        <v>1.2333333333333334</v>
      </c>
      <c r="P85" s="160">
        <f t="shared" si="60"/>
        <v>0</v>
      </c>
      <c r="Q85" s="173">
        <f t="shared" ref="Q85" si="61">O85+P85</f>
        <v>1.2333333333333334</v>
      </c>
      <c r="R85" s="158"/>
      <c r="S85" s="161"/>
      <c r="T85" s="176"/>
      <c r="U85" s="158"/>
      <c r="V85" s="161"/>
      <c r="W85" s="164"/>
      <c r="X85" s="141">
        <f t="shared" ref="X85" si="62">(SUM(G85:G91)*24)*($AC$14+$AC$14*$AD$14)</f>
        <v>52.965800000000002</v>
      </c>
      <c r="Y85" s="141">
        <f t="shared" ref="Y85" si="63">(SUM(J85:J91)*24)*($AC$14+$AC$14*$AD$14)</f>
        <v>0</v>
      </c>
      <c r="Z85" s="183"/>
      <c r="AA85" s="197"/>
      <c r="AB85" s="241"/>
    </row>
    <row r="86" spans="1:28" x14ac:dyDescent="0.25">
      <c r="A86" s="18">
        <v>44755</v>
      </c>
      <c r="B86" s="142" t="s">
        <v>7</v>
      </c>
      <c r="C86" s="143"/>
      <c r="D86" s="143"/>
      <c r="E86" s="144"/>
      <c r="F86" s="39"/>
      <c r="G86" s="40"/>
      <c r="H86" s="57"/>
      <c r="I86" s="118"/>
      <c r="J86" s="68"/>
      <c r="K86" s="27"/>
      <c r="L86" s="169"/>
      <c r="M86" s="171"/>
      <c r="N86" s="174"/>
      <c r="O86" s="169"/>
      <c r="P86" s="171"/>
      <c r="Q86" s="174"/>
      <c r="R86" s="158"/>
      <c r="S86" s="161"/>
      <c r="T86" s="176"/>
      <c r="U86" s="158"/>
      <c r="V86" s="161"/>
      <c r="W86" s="164"/>
      <c r="X86" s="141"/>
      <c r="Y86" s="141"/>
      <c r="Z86" s="183"/>
      <c r="AA86" s="197"/>
      <c r="AB86" s="241"/>
    </row>
    <row r="87" spans="1:28" x14ac:dyDescent="0.25">
      <c r="A87" s="16">
        <v>44756</v>
      </c>
      <c r="B87" s="9"/>
      <c r="C87" s="8"/>
      <c r="D87" s="9"/>
      <c r="E87" s="8"/>
      <c r="F87" s="35">
        <f>IF(COUNTIF(B87:E87,0)=4,0,IF(COUNTIF(B87:E87,0)=2,$AD$3,$AC$3))</f>
        <v>0.30833333333333335</v>
      </c>
      <c r="G87" s="36">
        <f>IF(COUNTIF(B87:E87,0)=4,0,IF(COUNTIF(B87:E87,0)=2,$AD$7,$AC$7))</f>
        <v>1.6666666666666666E-2</v>
      </c>
      <c r="H87" s="61">
        <f t="shared" si="48"/>
        <v>0.32500000000000001</v>
      </c>
      <c r="I87" s="35">
        <f t="shared" si="49"/>
        <v>0.30833333333333335</v>
      </c>
      <c r="J87" s="112">
        <f t="shared" si="35"/>
        <v>0</v>
      </c>
      <c r="K87" s="25">
        <f>((C87-B87)+(E87-D87))</f>
        <v>0</v>
      </c>
      <c r="L87" s="169"/>
      <c r="M87" s="171"/>
      <c r="N87" s="174"/>
      <c r="O87" s="169"/>
      <c r="P87" s="171"/>
      <c r="Q87" s="174"/>
      <c r="R87" s="158"/>
      <c r="S87" s="161"/>
      <c r="T87" s="176"/>
      <c r="U87" s="158"/>
      <c r="V87" s="161"/>
      <c r="W87" s="164"/>
      <c r="X87" s="141"/>
      <c r="Y87" s="141"/>
      <c r="Z87" s="183"/>
      <c r="AA87" s="197"/>
      <c r="AB87" s="241"/>
    </row>
    <row r="88" spans="1:28" x14ac:dyDescent="0.25">
      <c r="A88" s="16">
        <v>44757</v>
      </c>
      <c r="B88" s="12"/>
      <c r="C88" s="11"/>
      <c r="D88" s="12"/>
      <c r="E88" s="11"/>
      <c r="F88" s="35">
        <f>IF(COUNTIF(B88:E88,0)=4,0,IF(COUNTIF(B88:E88,0)=2,$AD$3,$AC$3))</f>
        <v>0.30833333333333335</v>
      </c>
      <c r="G88" s="36">
        <f>IF(COUNTIF(B88:E88,0)=4,0,IF(COUNTIF(B88:E88,0)=2,$AD$7,$AC$7))</f>
        <v>1.6666666666666666E-2</v>
      </c>
      <c r="H88" s="61">
        <f t="shared" si="48"/>
        <v>0.32500000000000001</v>
      </c>
      <c r="I88" s="35">
        <f t="shared" si="49"/>
        <v>0.30833333333333335</v>
      </c>
      <c r="J88" s="112">
        <f t="shared" si="35"/>
        <v>0</v>
      </c>
      <c r="K88" s="25">
        <f>((C88-B88)+(E88-D88))</f>
        <v>0</v>
      </c>
      <c r="L88" s="169"/>
      <c r="M88" s="171"/>
      <c r="N88" s="174"/>
      <c r="O88" s="169"/>
      <c r="P88" s="171"/>
      <c r="Q88" s="174"/>
      <c r="R88" s="158"/>
      <c r="S88" s="161"/>
      <c r="T88" s="176"/>
      <c r="U88" s="158"/>
      <c r="V88" s="161"/>
      <c r="W88" s="164"/>
      <c r="X88" s="141"/>
      <c r="Y88" s="141"/>
      <c r="Z88" s="183"/>
      <c r="AA88" s="197"/>
      <c r="AB88" s="241"/>
    </row>
    <row r="89" spans="1:28" x14ac:dyDescent="0.25">
      <c r="A89" s="16">
        <v>44758</v>
      </c>
      <c r="B89" s="12"/>
      <c r="C89" s="11"/>
      <c r="D89" s="12"/>
      <c r="E89" s="11"/>
      <c r="F89" s="47">
        <f>IF(COUNTIF(B89:E89,0)=4,0,IF(COUNTIF(B89:E89,0)=2,$AD$3,$AC$3))</f>
        <v>0.30833333333333335</v>
      </c>
      <c r="G89" s="48">
        <f>IF(COUNTIF(B89:E89,0)=4,0,IF(COUNTIF(B89:E89,0)=2,$AD$7,$AC$7))</f>
        <v>1.6666666666666666E-2</v>
      </c>
      <c r="H89" s="62">
        <f t="shared" si="48"/>
        <v>0.32500000000000001</v>
      </c>
      <c r="I89" s="47">
        <f t="shared" si="49"/>
        <v>0.30833333333333335</v>
      </c>
      <c r="J89" s="112">
        <f t="shared" si="35"/>
        <v>0</v>
      </c>
      <c r="K89" s="49">
        <f>((C89-B89)+(E89-D89))</f>
        <v>0</v>
      </c>
      <c r="L89" s="169"/>
      <c r="M89" s="171"/>
      <c r="N89" s="174"/>
      <c r="O89" s="169"/>
      <c r="P89" s="171"/>
      <c r="Q89" s="174"/>
      <c r="R89" s="158"/>
      <c r="S89" s="161"/>
      <c r="T89" s="176"/>
      <c r="U89" s="158"/>
      <c r="V89" s="161"/>
      <c r="W89" s="164"/>
      <c r="X89" s="141"/>
      <c r="Y89" s="141"/>
      <c r="Z89" s="183"/>
      <c r="AA89" s="197"/>
      <c r="AB89" s="241"/>
    </row>
    <row r="90" spans="1:28" x14ac:dyDescent="0.25">
      <c r="A90" s="18">
        <v>44759</v>
      </c>
      <c r="B90" s="3"/>
      <c r="C90" s="1"/>
      <c r="D90" s="3"/>
      <c r="E90" s="1"/>
      <c r="F90" s="39"/>
      <c r="G90" s="40"/>
      <c r="H90" s="57"/>
      <c r="I90" s="39"/>
      <c r="J90" s="114"/>
      <c r="K90" s="41"/>
      <c r="L90" s="169"/>
      <c r="M90" s="171"/>
      <c r="N90" s="174"/>
      <c r="O90" s="169"/>
      <c r="P90" s="171"/>
      <c r="Q90" s="174"/>
      <c r="R90" s="158"/>
      <c r="S90" s="161"/>
      <c r="T90" s="176"/>
      <c r="U90" s="158"/>
      <c r="V90" s="161"/>
      <c r="W90" s="164"/>
      <c r="X90" s="141"/>
      <c r="Y90" s="141"/>
      <c r="Z90" s="183"/>
      <c r="AA90" s="197"/>
      <c r="AB90" s="241"/>
    </row>
    <row r="91" spans="1:28" x14ac:dyDescent="0.25">
      <c r="A91" s="19">
        <v>44760</v>
      </c>
      <c r="B91" s="4"/>
      <c r="C91" s="2"/>
      <c r="D91" s="4"/>
      <c r="E91" s="2"/>
      <c r="F91" s="42"/>
      <c r="G91" s="43"/>
      <c r="H91" s="58"/>
      <c r="I91" s="42"/>
      <c r="J91" s="115"/>
      <c r="K91" s="44"/>
      <c r="L91" s="170"/>
      <c r="M91" s="172"/>
      <c r="N91" s="175"/>
      <c r="O91" s="170"/>
      <c r="P91" s="172"/>
      <c r="Q91" s="175"/>
      <c r="R91" s="158"/>
      <c r="S91" s="161"/>
      <c r="T91" s="176"/>
      <c r="U91" s="158"/>
      <c r="V91" s="161"/>
      <c r="W91" s="164"/>
      <c r="X91" s="141"/>
      <c r="Y91" s="141"/>
      <c r="Z91" s="183"/>
      <c r="AA91" s="197"/>
      <c r="AB91" s="241"/>
    </row>
    <row r="92" spans="1:28" x14ac:dyDescent="0.25">
      <c r="A92" s="15">
        <v>44761</v>
      </c>
      <c r="B92" s="9"/>
      <c r="C92" s="8"/>
      <c r="D92" s="9"/>
      <c r="E92" s="8"/>
      <c r="F92" s="33">
        <f>IF(COUNTIF(B92:E92,0)=4,0,IF(COUNTIF(B92:E92,0)=2,$AD$3,$AC$3))</f>
        <v>0.30833333333333335</v>
      </c>
      <c r="G92" s="34">
        <f>IF(COUNTIF(B92:E92,0)=4,0,IF(COUNTIF(B92:E92,0)=2,$AD$7,$AC$7))</f>
        <v>1.6666666666666666E-2</v>
      </c>
      <c r="H92" s="60">
        <f t="shared" si="48"/>
        <v>0.32500000000000001</v>
      </c>
      <c r="I92" s="33">
        <f t="shared" si="49"/>
        <v>0.30833333333333335</v>
      </c>
      <c r="J92" s="112">
        <f t="shared" si="35"/>
        <v>0</v>
      </c>
      <c r="K92" s="24">
        <f>((C92-B92)+(E92-D92))</f>
        <v>0</v>
      </c>
      <c r="L92" s="157">
        <f t="shared" ref="L92:M92" si="64">SUM(F92:F98)</f>
        <v>1.5416666666666667</v>
      </c>
      <c r="M92" s="160">
        <f t="shared" si="64"/>
        <v>8.3333333333333329E-2</v>
      </c>
      <c r="N92" s="173">
        <f t="shared" ref="N92" si="65">L92+M92</f>
        <v>1.625</v>
      </c>
      <c r="O92" s="157">
        <f t="shared" ref="O92:P92" si="66">SUM(I92:I98)</f>
        <v>1.5416666666666667</v>
      </c>
      <c r="P92" s="160">
        <f t="shared" si="66"/>
        <v>0</v>
      </c>
      <c r="Q92" s="173">
        <f t="shared" ref="Q92" si="67">O92+P92</f>
        <v>1.5416666666666667</v>
      </c>
      <c r="R92" s="158"/>
      <c r="S92" s="161"/>
      <c r="T92" s="176"/>
      <c r="U92" s="158"/>
      <c r="V92" s="161"/>
      <c r="W92" s="164"/>
      <c r="X92" s="141">
        <f t="shared" ref="X92" si="68">(SUM(G92:G98)*24)*($AC$14+$AC$14*$AD$14)</f>
        <v>66.207250000000002</v>
      </c>
      <c r="Y92" s="141">
        <f t="shared" ref="Y92" si="69">(SUM(J92:J98)*24)*($AC$14+$AC$14*$AD$14)</f>
        <v>0</v>
      </c>
      <c r="Z92" s="183"/>
      <c r="AA92" s="197"/>
      <c r="AB92" s="241"/>
    </row>
    <row r="93" spans="1:28" x14ac:dyDescent="0.25">
      <c r="A93" s="16">
        <v>44762</v>
      </c>
      <c r="B93" s="12"/>
      <c r="C93" s="11"/>
      <c r="D93" s="12"/>
      <c r="E93" s="11"/>
      <c r="F93" s="35">
        <f>IF(COUNTIF(B93:E93,0)=4,0,IF(COUNTIF(B93:E93,0)=2,$AD$3,$AC$3))</f>
        <v>0.30833333333333335</v>
      </c>
      <c r="G93" s="36">
        <f>IF(COUNTIF(B93:E93,0)=4,0,IF(COUNTIF(B93:E93,0)=2,$AD$7,$AC$7))</f>
        <v>1.6666666666666666E-2</v>
      </c>
      <c r="H93" s="61">
        <f t="shared" si="48"/>
        <v>0.32500000000000001</v>
      </c>
      <c r="I93" s="35">
        <f t="shared" si="49"/>
        <v>0.30833333333333335</v>
      </c>
      <c r="J93" s="112">
        <f t="shared" si="35"/>
        <v>0</v>
      </c>
      <c r="K93" s="25">
        <f>((C93-B93)+(E93-D93))</f>
        <v>0</v>
      </c>
      <c r="L93" s="169"/>
      <c r="M93" s="171"/>
      <c r="N93" s="174"/>
      <c r="O93" s="169"/>
      <c r="P93" s="171"/>
      <c r="Q93" s="174"/>
      <c r="R93" s="158"/>
      <c r="S93" s="161"/>
      <c r="T93" s="176"/>
      <c r="U93" s="158"/>
      <c r="V93" s="161"/>
      <c r="W93" s="164"/>
      <c r="X93" s="141"/>
      <c r="Y93" s="141"/>
      <c r="Z93" s="183"/>
      <c r="AA93" s="197"/>
      <c r="AB93" s="241"/>
    </row>
    <row r="94" spans="1:28" x14ac:dyDescent="0.25">
      <c r="A94" s="16">
        <v>44763</v>
      </c>
      <c r="B94" s="12"/>
      <c r="C94" s="11"/>
      <c r="D94" s="12"/>
      <c r="E94" s="11"/>
      <c r="F94" s="35">
        <f>IF(COUNTIF(B94:E94,0)=4,0,IF(COUNTIF(B94:E94,0)=2,$AD$3,$AC$3))</f>
        <v>0.30833333333333335</v>
      </c>
      <c r="G94" s="36">
        <f>IF(COUNTIF(B94:E94,0)=4,0,IF(COUNTIF(B94:E94,0)=2,$AD$7,$AC$7))</f>
        <v>1.6666666666666666E-2</v>
      </c>
      <c r="H94" s="61">
        <f t="shared" si="48"/>
        <v>0.32500000000000001</v>
      </c>
      <c r="I94" s="35">
        <f t="shared" si="49"/>
        <v>0.30833333333333335</v>
      </c>
      <c r="J94" s="112">
        <f t="shared" si="35"/>
        <v>0</v>
      </c>
      <c r="K94" s="25">
        <f>((C94-B94)+(E94-D94))</f>
        <v>0</v>
      </c>
      <c r="L94" s="169"/>
      <c r="M94" s="171"/>
      <c r="N94" s="174"/>
      <c r="O94" s="169"/>
      <c r="P94" s="171"/>
      <c r="Q94" s="174"/>
      <c r="R94" s="158"/>
      <c r="S94" s="161"/>
      <c r="T94" s="176"/>
      <c r="U94" s="158"/>
      <c r="V94" s="161"/>
      <c r="W94" s="164"/>
      <c r="X94" s="141"/>
      <c r="Y94" s="141"/>
      <c r="Z94" s="183"/>
      <c r="AA94" s="197"/>
      <c r="AB94" s="241"/>
    </row>
    <row r="95" spans="1:28" x14ac:dyDescent="0.25">
      <c r="A95" s="16">
        <v>44764</v>
      </c>
      <c r="B95" s="12"/>
      <c r="C95" s="11"/>
      <c r="D95" s="12"/>
      <c r="E95" s="11"/>
      <c r="F95" s="35">
        <f>IF(COUNTIF(B95:E95,0)=4,0,IF(COUNTIF(B95:E95,0)=2,$AD$3,$AC$3))</f>
        <v>0.30833333333333335</v>
      </c>
      <c r="G95" s="36">
        <f>IF(COUNTIF(B95:E95,0)=4,0,IF(COUNTIF(B95:E95,0)=2,$AD$7,$AC$7))</f>
        <v>1.6666666666666666E-2</v>
      </c>
      <c r="H95" s="61">
        <f t="shared" si="48"/>
        <v>0.32500000000000001</v>
      </c>
      <c r="I95" s="35">
        <f t="shared" si="49"/>
        <v>0.30833333333333335</v>
      </c>
      <c r="J95" s="112">
        <f t="shared" si="35"/>
        <v>0</v>
      </c>
      <c r="K95" s="25">
        <f>((C95-B95)+(E95-D95))</f>
        <v>0</v>
      </c>
      <c r="L95" s="169"/>
      <c r="M95" s="171"/>
      <c r="N95" s="174"/>
      <c r="O95" s="169"/>
      <c r="P95" s="171"/>
      <c r="Q95" s="174"/>
      <c r="R95" s="158"/>
      <c r="S95" s="161"/>
      <c r="T95" s="176"/>
      <c r="U95" s="158"/>
      <c r="V95" s="161"/>
      <c r="W95" s="164"/>
      <c r="X95" s="141"/>
      <c r="Y95" s="141"/>
      <c r="Z95" s="183"/>
      <c r="AA95" s="197"/>
      <c r="AB95" s="241"/>
    </row>
    <row r="96" spans="1:28" x14ac:dyDescent="0.25">
      <c r="A96" s="16">
        <v>44765</v>
      </c>
      <c r="B96" s="12"/>
      <c r="C96" s="11"/>
      <c r="D96" s="12"/>
      <c r="E96" s="11"/>
      <c r="F96" s="47">
        <f>IF(COUNTIF(B96:E96,0)=4,0,IF(COUNTIF(B96:E96,0)=2,$AD$3,$AC$3))</f>
        <v>0.30833333333333335</v>
      </c>
      <c r="G96" s="48">
        <f>IF(COUNTIF(B96:E96,0)=4,0,IF(COUNTIF(B96:E96,0)=2,$AD$7,$AC$7))</f>
        <v>1.6666666666666666E-2</v>
      </c>
      <c r="H96" s="62">
        <f t="shared" si="48"/>
        <v>0.32500000000000001</v>
      </c>
      <c r="I96" s="47">
        <f t="shared" si="49"/>
        <v>0.30833333333333335</v>
      </c>
      <c r="J96" s="112">
        <f t="shared" si="35"/>
        <v>0</v>
      </c>
      <c r="K96" s="49">
        <f>((C96-B96)+(E96-D96))</f>
        <v>0</v>
      </c>
      <c r="L96" s="169"/>
      <c r="M96" s="171"/>
      <c r="N96" s="174"/>
      <c r="O96" s="169"/>
      <c r="P96" s="171"/>
      <c r="Q96" s="174"/>
      <c r="R96" s="158"/>
      <c r="S96" s="161"/>
      <c r="T96" s="176"/>
      <c r="U96" s="158"/>
      <c r="V96" s="161"/>
      <c r="W96" s="164"/>
      <c r="X96" s="141"/>
      <c r="Y96" s="141"/>
      <c r="Z96" s="183"/>
      <c r="AA96" s="197"/>
      <c r="AB96" s="241"/>
    </row>
    <row r="97" spans="1:28" x14ac:dyDescent="0.25">
      <c r="A97" s="18">
        <v>44766</v>
      </c>
      <c r="B97" s="3"/>
      <c r="C97" s="1"/>
      <c r="D97" s="3"/>
      <c r="E97" s="1"/>
      <c r="F97" s="39"/>
      <c r="G97" s="40"/>
      <c r="H97" s="57"/>
      <c r="I97" s="39"/>
      <c r="J97" s="114"/>
      <c r="K97" s="41"/>
      <c r="L97" s="169"/>
      <c r="M97" s="171"/>
      <c r="N97" s="174"/>
      <c r="O97" s="169"/>
      <c r="P97" s="171"/>
      <c r="Q97" s="174"/>
      <c r="R97" s="158"/>
      <c r="S97" s="161"/>
      <c r="T97" s="176"/>
      <c r="U97" s="158"/>
      <c r="V97" s="161"/>
      <c r="W97" s="164"/>
      <c r="X97" s="141"/>
      <c r="Y97" s="141"/>
      <c r="Z97" s="183"/>
      <c r="AA97" s="197"/>
      <c r="AB97" s="241"/>
    </row>
    <row r="98" spans="1:28" x14ac:dyDescent="0.25">
      <c r="A98" s="19">
        <v>44767</v>
      </c>
      <c r="B98" s="4"/>
      <c r="C98" s="2"/>
      <c r="D98" s="4"/>
      <c r="E98" s="2"/>
      <c r="F98" s="42"/>
      <c r="G98" s="43"/>
      <c r="H98" s="58"/>
      <c r="I98" s="42"/>
      <c r="J98" s="115"/>
      <c r="K98" s="44"/>
      <c r="L98" s="170"/>
      <c r="M98" s="172"/>
      <c r="N98" s="175"/>
      <c r="O98" s="170"/>
      <c r="P98" s="172"/>
      <c r="Q98" s="175"/>
      <c r="R98" s="158"/>
      <c r="S98" s="161"/>
      <c r="T98" s="176"/>
      <c r="U98" s="158"/>
      <c r="V98" s="161"/>
      <c r="W98" s="164"/>
      <c r="X98" s="141"/>
      <c r="Y98" s="141"/>
      <c r="Z98" s="183"/>
      <c r="AA98" s="197"/>
      <c r="AB98" s="241"/>
    </row>
    <row r="99" spans="1:28" x14ac:dyDescent="0.25">
      <c r="A99" s="15">
        <v>44768</v>
      </c>
      <c r="B99" s="9"/>
      <c r="C99" s="8"/>
      <c r="D99" s="9"/>
      <c r="E99" s="8"/>
      <c r="F99" s="33">
        <f>IF(COUNTIF(B99:E99,0)=4,0,IF(COUNTIF(B99:E99,0)=2,$AD$3,$AC$3))</f>
        <v>0.30833333333333335</v>
      </c>
      <c r="G99" s="34">
        <f>IF(COUNTIF(B99:E99,0)=4,0,IF(COUNTIF(B99:E99,0)=2,$AD$7,$AC$7))</f>
        <v>1.6666666666666666E-2</v>
      </c>
      <c r="H99" s="60">
        <f t="shared" si="48"/>
        <v>0.32500000000000001</v>
      </c>
      <c r="I99" s="33">
        <f t="shared" si="49"/>
        <v>0.30833333333333335</v>
      </c>
      <c r="J99" s="112">
        <f t="shared" si="35"/>
        <v>0</v>
      </c>
      <c r="K99" s="24">
        <f>((C99-B99)+(E99-D99))</f>
        <v>0</v>
      </c>
      <c r="L99" s="157">
        <f t="shared" ref="L99:M99" si="70">SUM(F99:F105)</f>
        <v>1.5416666666666667</v>
      </c>
      <c r="M99" s="160">
        <f t="shared" si="70"/>
        <v>8.3333333333333329E-2</v>
      </c>
      <c r="N99" s="173">
        <f t="shared" ref="N99" si="71">L99+M99</f>
        <v>1.625</v>
      </c>
      <c r="O99" s="157">
        <f t="shared" ref="O99:P99" si="72">SUM(I99:I105)</f>
        <v>1.5416666666666667</v>
      </c>
      <c r="P99" s="160">
        <f t="shared" si="72"/>
        <v>0</v>
      </c>
      <c r="Q99" s="173">
        <f t="shared" ref="Q99" si="73">O99+P99</f>
        <v>1.5416666666666667</v>
      </c>
      <c r="R99" s="158"/>
      <c r="S99" s="161"/>
      <c r="T99" s="176"/>
      <c r="U99" s="158"/>
      <c r="V99" s="161"/>
      <c r="W99" s="164"/>
      <c r="X99" s="141">
        <f>(SUM(G99:G103)*24)*($AC$14+$AC$14*$AD$14)</f>
        <v>66.207250000000002</v>
      </c>
      <c r="Y99" s="141">
        <f>(SUM(J99:J103)*24)*($AC$14+$AC$14*$AD$14)</f>
        <v>0</v>
      </c>
      <c r="Z99" s="183"/>
      <c r="AA99" s="197"/>
      <c r="AB99" s="241"/>
    </row>
    <row r="100" spans="1:28" x14ac:dyDescent="0.25">
      <c r="A100" s="16">
        <v>44769</v>
      </c>
      <c r="B100" s="12"/>
      <c r="C100" s="11"/>
      <c r="D100" s="12"/>
      <c r="E100" s="11"/>
      <c r="F100" s="35">
        <f>IF(COUNTIF(B100:E100,0)=4,0,IF(COUNTIF(B100:E100,0)=2,$AD$3,$AC$3))</f>
        <v>0.30833333333333335</v>
      </c>
      <c r="G100" s="36">
        <f>IF(COUNTIF(B100:E100,0)=4,0,IF(COUNTIF(B100:E100,0)=2,$AD$7,$AC$7))</f>
        <v>1.6666666666666666E-2</v>
      </c>
      <c r="H100" s="61">
        <f t="shared" si="48"/>
        <v>0.32500000000000001</v>
      </c>
      <c r="I100" s="35">
        <f t="shared" si="49"/>
        <v>0.30833333333333335</v>
      </c>
      <c r="J100" s="112">
        <f t="shared" si="35"/>
        <v>0</v>
      </c>
      <c r="K100" s="25">
        <f>((C100-B100)+(E100-D100))</f>
        <v>0</v>
      </c>
      <c r="L100" s="169"/>
      <c r="M100" s="171"/>
      <c r="N100" s="174"/>
      <c r="O100" s="169"/>
      <c r="P100" s="171"/>
      <c r="Q100" s="174"/>
      <c r="R100" s="158"/>
      <c r="S100" s="161"/>
      <c r="T100" s="176"/>
      <c r="U100" s="158"/>
      <c r="V100" s="161"/>
      <c r="W100" s="164"/>
      <c r="X100" s="141"/>
      <c r="Y100" s="141"/>
      <c r="Z100" s="183"/>
      <c r="AA100" s="197"/>
      <c r="AB100" s="241"/>
    </row>
    <row r="101" spans="1:28" x14ac:dyDescent="0.25">
      <c r="A101" s="16">
        <v>44770</v>
      </c>
      <c r="B101" s="12"/>
      <c r="C101" s="11"/>
      <c r="D101" s="12"/>
      <c r="E101" s="11"/>
      <c r="F101" s="35">
        <f>IF(COUNTIF(B101:E101,0)=4,0,IF(COUNTIF(B101:E101,0)=2,$AD$3,$AC$3))</f>
        <v>0.30833333333333335</v>
      </c>
      <c r="G101" s="36">
        <f>IF(COUNTIF(B101:E101,0)=4,0,IF(COUNTIF(B101:E101,0)=2,$AD$7,$AC$7))</f>
        <v>1.6666666666666666E-2</v>
      </c>
      <c r="H101" s="61">
        <f t="shared" si="48"/>
        <v>0.32500000000000001</v>
      </c>
      <c r="I101" s="35">
        <f t="shared" si="49"/>
        <v>0.30833333333333335</v>
      </c>
      <c r="J101" s="112">
        <f t="shared" si="35"/>
        <v>0</v>
      </c>
      <c r="K101" s="25">
        <f>((C101-B101)+(E101-D101))</f>
        <v>0</v>
      </c>
      <c r="L101" s="169"/>
      <c r="M101" s="171"/>
      <c r="N101" s="174"/>
      <c r="O101" s="169"/>
      <c r="P101" s="171"/>
      <c r="Q101" s="174"/>
      <c r="R101" s="158"/>
      <c r="S101" s="161"/>
      <c r="T101" s="176"/>
      <c r="U101" s="158"/>
      <c r="V101" s="161"/>
      <c r="W101" s="164"/>
      <c r="X101" s="141"/>
      <c r="Y101" s="141"/>
      <c r="Z101" s="183"/>
      <c r="AA101" s="197"/>
      <c r="AB101" s="241"/>
    </row>
    <row r="102" spans="1:28" x14ac:dyDescent="0.25">
      <c r="A102" s="16">
        <v>44771</v>
      </c>
      <c r="B102" s="12"/>
      <c r="C102" s="11"/>
      <c r="D102" s="12"/>
      <c r="E102" s="11"/>
      <c r="F102" s="35">
        <f>IF(COUNTIF(B102:E102,0)=4,0,IF(COUNTIF(B102:E102,0)=2,$AD$3,$AC$3))</f>
        <v>0.30833333333333335</v>
      </c>
      <c r="G102" s="36">
        <f>IF(COUNTIF(B102:E102,0)=4,0,IF(COUNTIF(B102:E102,0)=2,$AD$7,$AC$7))</f>
        <v>1.6666666666666666E-2</v>
      </c>
      <c r="H102" s="61">
        <f t="shared" si="48"/>
        <v>0.32500000000000001</v>
      </c>
      <c r="I102" s="35">
        <f t="shared" si="49"/>
        <v>0.30833333333333335</v>
      </c>
      <c r="J102" s="112">
        <f t="shared" si="35"/>
        <v>0</v>
      </c>
      <c r="K102" s="25">
        <f>((C102-B102)+(E102-D102))</f>
        <v>0</v>
      </c>
      <c r="L102" s="169"/>
      <c r="M102" s="171"/>
      <c r="N102" s="174"/>
      <c r="O102" s="169"/>
      <c r="P102" s="171"/>
      <c r="Q102" s="174"/>
      <c r="R102" s="158"/>
      <c r="S102" s="161"/>
      <c r="T102" s="176"/>
      <c r="U102" s="158"/>
      <c r="V102" s="161"/>
      <c r="W102" s="164"/>
      <c r="X102" s="141"/>
      <c r="Y102" s="141"/>
      <c r="Z102" s="183"/>
      <c r="AA102" s="197"/>
      <c r="AB102" s="241"/>
    </row>
    <row r="103" spans="1:28" x14ac:dyDescent="0.25">
      <c r="A103" s="16">
        <v>44772</v>
      </c>
      <c r="B103" s="12"/>
      <c r="C103" s="11"/>
      <c r="D103" s="12"/>
      <c r="E103" s="11"/>
      <c r="F103" s="47">
        <f>IF(COUNTIF(B103:E103,0)=4,0,IF(COUNTIF(B103:E103,0)=2,$AD$3,$AC$3))</f>
        <v>0.30833333333333335</v>
      </c>
      <c r="G103" s="48">
        <f>IF(COUNTIF(B103:E103,0)=4,0,IF(COUNTIF(B103:E103,0)=2,$AD$7,$AC$7))</f>
        <v>1.6666666666666666E-2</v>
      </c>
      <c r="H103" s="62">
        <f t="shared" si="48"/>
        <v>0.32500000000000001</v>
      </c>
      <c r="I103" s="47">
        <f t="shared" si="49"/>
        <v>0.30833333333333335</v>
      </c>
      <c r="J103" s="112">
        <f t="shared" si="35"/>
        <v>0</v>
      </c>
      <c r="K103" s="49">
        <f>((C103-B103)+(E103-D103))</f>
        <v>0</v>
      </c>
      <c r="L103" s="169"/>
      <c r="M103" s="171"/>
      <c r="N103" s="174"/>
      <c r="O103" s="169"/>
      <c r="P103" s="171"/>
      <c r="Q103" s="174"/>
      <c r="R103" s="159"/>
      <c r="S103" s="162"/>
      <c r="T103" s="177"/>
      <c r="U103" s="159"/>
      <c r="V103" s="162"/>
      <c r="W103" s="165"/>
      <c r="X103" s="141"/>
      <c r="Y103" s="141"/>
      <c r="Z103" s="183"/>
      <c r="AA103" s="197"/>
      <c r="AB103" s="241"/>
    </row>
    <row r="104" spans="1:28" x14ac:dyDescent="0.25">
      <c r="A104" s="18">
        <v>44773</v>
      </c>
      <c r="B104" s="3"/>
      <c r="C104" s="1"/>
      <c r="D104" s="3"/>
      <c r="E104" s="1"/>
      <c r="F104" s="39"/>
      <c r="G104" s="40"/>
      <c r="H104" s="57"/>
      <c r="I104" s="39"/>
      <c r="J104" s="114"/>
      <c r="K104" s="41"/>
      <c r="L104" s="169"/>
      <c r="M104" s="171"/>
      <c r="N104" s="174"/>
      <c r="O104" s="169"/>
      <c r="P104" s="171"/>
      <c r="Q104" s="174"/>
      <c r="R104" s="157">
        <f>SUM(F104:F134)</f>
        <v>6.4750000000000032</v>
      </c>
      <c r="S104" s="160">
        <f>SUM(G104:G134)</f>
        <v>0.35</v>
      </c>
      <c r="T104" s="173">
        <f>R104+S104</f>
        <v>6.8250000000000028</v>
      </c>
      <c r="U104" s="157">
        <f>SUM(I104:I134)</f>
        <v>6.4750000000000032</v>
      </c>
      <c r="V104" s="160">
        <f>SUM(J104:J134)</f>
        <v>0</v>
      </c>
      <c r="W104" s="163">
        <f>U104+V104</f>
        <v>6.4750000000000032</v>
      </c>
      <c r="X104" s="141">
        <v>0</v>
      </c>
      <c r="Y104" s="141">
        <v>0</v>
      </c>
      <c r="Z104" s="183"/>
      <c r="AA104" s="197"/>
      <c r="AB104" s="241"/>
    </row>
    <row r="105" spans="1:28" x14ac:dyDescent="0.25">
      <c r="A105" s="19">
        <v>44774</v>
      </c>
      <c r="B105" s="4"/>
      <c r="C105" s="2"/>
      <c r="D105" s="4"/>
      <c r="E105" s="2"/>
      <c r="F105" s="42"/>
      <c r="G105" s="43"/>
      <c r="H105" s="58"/>
      <c r="I105" s="42"/>
      <c r="J105" s="115"/>
      <c r="K105" s="44"/>
      <c r="L105" s="170"/>
      <c r="M105" s="172"/>
      <c r="N105" s="175"/>
      <c r="O105" s="170"/>
      <c r="P105" s="172"/>
      <c r="Q105" s="175"/>
      <c r="R105" s="158"/>
      <c r="S105" s="161"/>
      <c r="T105" s="176"/>
      <c r="U105" s="158"/>
      <c r="V105" s="161"/>
      <c r="W105" s="164"/>
      <c r="X105" s="141"/>
      <c r="Y105" s="141"/>
      <c r="Z105" s="183"/>
      <c r="AA105" s="197"/>
      <c r="AB105" s="241"/>
    </row>
    <row r="106" spans="1:28" x14ac:dyDescent="0.25">
      <c r="A106" s="15">
        <v>44775</v>
      </c>
      <c r="B106" s="9"/>
      <c r="C106" s="8"/>
      <c r="D106" s="9"/>
      <c r="E106" s="8"/>
      <c r="F106" s="33">
        <f>IF(COUNTIF(B106:E106,0)=4,0,IF(COUNTIF(B106:E106,0)=2,$AD$3,$AC$3))</f>
        <v>0.30833333333333335</v>
      </c>
      <c r="G106" s="34">
        <f>IF(COUNTIF(B106:E106,0)=4,0,IF(COUNTIF(B106:E106,0)=2,$AD$7,$AC$7))</f>
        <v>1.6666666666666666E-2</v>
      </c>
      <c r="H106" s="60">
        <f t="shared" si="48"/>
        <v>0.32500000000000001</v>
      </c>
      <c r="I106" s="33">
        <f t="shared" si="49"/>
        <v>0.30833333333333335</v>
      </c>
      <c r="J106" s="112">
        <f t="shared" si="35"/>
        <v>0</v>
      </c>
      <c r="K106" s="24">
        <f>((C106-B106)+(E106-D106))</f>
        <v>0</v>
      </c>
      <c r="L106" s="157">
        <f t="shared" ref="L106:M106" si="74">SUM(F106:F112)</f>
        <v>1.5416666666666667</v>
      </c>
      <c r="M106" s="160">
        <f t="shared" si="74"/>
        <v>8.3333333333333329E-2</v>
      </c>
      <c r="N106" s="173">
        <f t="shared" ref="N106" si="75">L106+M106</f>
        <v>1.625</v>
      </c>
      <c r="O106" s="157">
        <f t="shared" ref="O106:P106" si="76">SUM(I106:I112)</f>
        <v>1.5416666666666667</v>
      </c>
      <c r="P106" s="160">
        <f t="shared" si="76"/>
        <v>0</v>
      </c>
      <c r="Q106" s="173">
        <f t="shared" ref="Q106" si="77">O106+P106</f>
        <v>1.5416666666666667</v>
      </c>
      <c r="R106" s="158"/>
      <c r="S106" s="161"/>
      <c r="T106" s="176"/>
      <c r="U106" s="158"/>
      <c r="V106" s="161"/>
      <c r="W106" s="164"/>
      <c r="X106" s="141">
        <f>(SUM(G106:G112)*24)*($AC$14+$AC$14*$AD$14)</f>
        <v>66.207250000000002</v>
      </c>
      <c r="Y106" s="141">
        <f>(SUM(J106:J112)*24)*($AC$14+$AC$14*$AD$14)</f>
        <v>0</v>
      </c>
      <c r="Z106" s="183"/>
      <c r="AA106" s="197"/>
      <c r="AB106" s="241"/>
    </row>
    <row r="107" spans="1:28" x14ac:dyDescent="0.25">
      <c r="A107" s="16">
        <v>44776</v>
      </c>
      <c r="B107" s="12"/>
      <c r="C107" s="11"/>
      <c r="D107" s="12"/>
      <c r="E107" s="11"/>
      <c r="F107" s="35">
        <f>IF(COUNTIF(B107:E107,0)=4,0,IF(COUNTIF(B107:E107,0)=2,$AD$3,$AC$3))</f>
        <v>0.30833333333333335</v>
      </c>
      <c r="G107" s="36">
        <f>IF(COUNTIF(B107:E107,0)=4,0,IF(COUNTIF(B107:E107,0)=2,$AD$7,$AC$7))</f>
        <v>1.6666666666666666E-2</v>
      </c>
      <c r="H107" s="61">
        <f t="shared" si="48"/>
        <v>0.32500000000000001</v>
      </c>
      <c r="I107" s="35">
        <f t="shared" si="49"/>
        <v>0.30833333333333335</v>
      </c>
      <c r="J107" s="112">
        <f t="shared" si="35"/>
        <v>0</v>
      </c>
      <c r="K107" s="25">
        <f>((C107-B107)+(E107-D107))</f>
        <v>0</v>
      </c>
      <c r="L107" s="169"/>
      <c r="M107" s="171"/>
      <c r="N107" s="174"/>
      <c r="O107" s="169"/>
      <c r="P107" s="171"/>
      <c r="Q107" s="174"/>
      <c r="R107" s="158"/>
      <c r="S107" s="161"/>
      <c r="T107" s="176"/>
      <c r="U107" s="158"/>
      <c r="V107" s="161"/>
      <c r="W107" s="164"/>
      <c r="X107" s="141"/>
      <c r="Y107" s="141"/>
      <c r="Z107" s="183"/>
      <c r="AA107" s="197"/>
      <c r="AB107" s="241"/>
    </row>
    <row r="108" spans="1:28" x14ac:dyDescent="0.25">
      <c r="A108" s="16">
        <v>44777</v>
      </c>
      <c r="B108" s="12"/>
      <c r="C108" s="11"/>
      <c r="D108" s="12"/>
      <c r="E108" s="11"/>
      <c r="F108" s="35">
        <f>IF(COUNTIF(B108:E108,0)=4,0,IF(COUNTIF(B108:E108,0)=2,$AD$3,$AC$3))</f>
        <v>0.30833333333333335</v>
      </c>
      <c r="G108" s="36">
        <f>IF(COUNTIF(B108:E108,0)=4,0,IF(COUNTIF(B108:E108,0)=2,$AD$7,$AC$7))</f>
        <v>1.6666666666666666E-2</v>
      </c>
      <c r="H108" s="61">
        <f t="shared" si="48"/>
        <v>0.32500000000000001</v>
      </c>
      <c r="I108" s="35">
        <f t="shared" si="49"/>
        <v>0.30833333333333335</v>
      </c>
      <c r="J108" s="112">
        <f t="shared" si="35"/>
        <v>0</v>
      </c>
      <c r="K108" s="25">
        <f>((C108-B108)+(E108-D108))</f>
        <v>0</v>
      </c>
      <c r="L108" s="169"/>
      <c r="M108" s="171"/>
      <c r="N108" s="174"/>
      <c r="O108" s="169"/>
      <c r="P108" s="171"/>
      <c r="Q108" s="174"/>
      <c r="R108" s="158"/>
      <c r="S108" s="161"/>
      <c r="T108" s="176"/>
      <c r="U108" s="158"/>
      <c r="V108" s="161"/>
      <c r="W108" s="164"/>
      <c r="X108" s="141"/>
      <c r="Y108" s="141"/>
      <c r="Z108" s="183"/>
      <c r="AA108" s="197"/>
      <c r="AB108" s="241"/>
    </row>
    <row r="109" spans="1:28" x14ac:dyDescent="0.25">
      <c r="A109" s="16">
        <v>44778</v>
      </c>
      <c r="B109" s="12"/>
      <c r="C109" s="11"/>
      <c r="D109" s="12"/>
      <c r="E109" s="11"/>
      <c r="F109" s="35">
        <f>IF(COUNTIF(B109:E109,0)=4,0,IF(COUNTIF(B109:E109,0)=2,$AD$3,$AC$3))</f>
        <v>0.30833333333333335</v>
      </c>
      <c r="G109" s="36">
        <f>IF(COUNTIF(B109:E109,0)=4,0,IF(COUNTIF(B109:E109,0)=2,$AD$7,$AC$7))</f>
        <v>1.6666666666666666E-2</v>
      </c>
      <c r="H109" s="61">
        <f t="shared" si="48"/>
        <v>0.32500000000000001</v>
      </c>
      <c r="I109" s="35">
        <f t="shared" si="49"/>
        <v>0.30833333333333335</v>
      </c>
      <c r="J109" s="112">
        <f t="shared" si="35"/>
        <v>0</v>
      </c>
      <c r="K109" s="25">
        <f>((C109-B109)+(E109-D109))</f>
        <v>0</v>
      </c>
      <c r="L109" s="169"/>
      <c r="M109" s="171"/>
      <c r="N109" s="174"/>
      <c r="O109" s="169"/>
      <c r="P109" s="171"/>
      <c r="Q109" s="174"/>
      <c r="R109" s="158"/>
      <c r="S109" s="161"/>
      <c r="T109" s="176"/>
      <c r="U109" s="158"/>
      <c r="V109" s="161"/>
      <c r="W109" s="164"/>
      <c r="X109" s="141"/>
      <c r="Y109" s="141"/>
      <c r="Z109" s="183"/>
      <c r="AA109" s="197"/>
      <c r="AB109" s="241"/>
    </row>
    <row r="110" spans="1:28" x14ac:dyDescent="0.25">
      <c r="A110" s="16">
        <v>44779</v>
      </c>
      <c r="B110" s="12"/>
      <c r="C110" s="11"/>
      <c r="D110" s="12"/>
      <c r="E110" s="11"/>
      <c r="F110" s="47">
        <f>IF(COUNTIF(B110:E110,0)=4,0,IF(COUNTIF(B110:E110,0)=2,$AD$3,$AC$3))</f>
        <v>0.30833333333333335</v>
      </c>
      <c r="G110" s="48">
        <f>IF(COUNTIF(B110:E110,0)=4,0,IF(COUNTIF(B110:E110,0)=2,$AD$7,$AC$7))</f>
        <v>1.6666666666666666E-2</v>
      </c>
      <c r="H110" s="62">
        <f t="shared" si="48"/>
        <v>0.32500000000000001</v>
      </c>
      <c r="I110" s="47">
        <f t="shared" si="49"/>
        <v>0.30833333333333335</v>
      </c>
      <c r="J110" s="112">
        <f t="shared" si="35"/>
        <v>0</v>
      </c>
      <c r="K110" s="49">
        <f>((C110-B110)+(E110-D110))</f>
        <v>0</v>
      </c>
      <c r="L110" s="169"/>
      <c r="M110" s="171"/>
      <c r="N110" s="174"/>
      <c r="O110" s="169"/>
      <c r="P110" s="171"/>
      <c r="Q110" s="174"/>
      <c r="R110" s="158"/>
      <c r="S110" s="161"/>
      <c r="T110" s="176"/>
      <c r="U110" s="158"/>
      <c r="V110" s="161"/>
      <c r="W110" s="164"/>
      <c r="X110" s="141"/>
      <c r="Y110" s="141"/>
      <c r="Z110" s="183"/>
      <c r="AA110" s="197"/>
      <c r="AB110" s="241"/>
    </row>
    <row r="111" spans="1:28" x14ac:dyDescent="0.25">
      <c r="A111" s="18">
        <v>44780</v>
      </c>
      <c r="B111" s="3"/>
      <c r="C111" s="1"/>
      <c r="D111" s="3"/>
      <c r="E111" s="1"/>
      <c r="F111" s="39"/>
      <c r="G111" s="40"/>
      <c r="H111" s="57"/>
      <c r="I111" s="39"/>
      <c r="J111" s="114"/>
      <c r="K111" s="41"/>
      <c r="L111" s="169"/>
      <c r="M111" s="171"/>
      <c r="N111" s="174"/>
      <c r="O111" s="169"/>
      <c r="P111" s="171"/>
      <c r="Q111" s="174"/>
      <c r="R111" s="158"/>
      <c r="S111" s="161"/>
      <c r="T111" s="176"/>
      <c r="U111" s="158"/>
      <c r="V111" s="161"/>
      <c r="W111" s="164"/>
      <c r="X111" s="141"/>
      <c r="Y111" s="141"/>
      <c r="Z111" s="183"/>
      <c r="AA111" s="197"/>
      <c r="AB111" s="241"/>
    </row>
    <row r="112" spans="1:28" x14ac:dyDescent="0.25">
      <c r="A112" s="19">
        <v>44781</v>
      </c>
      <c r="B112" s="4"/>
      <c r="C112" s="2"/>
      <c r="D112" s="4"/>
      <c r="E112" s="2"/>
      <c r="F112" s="42"/>
      <c r="G112" s="43"/>
      <c r="H112" s="58"/>
      <c r="I112" s="42"/>
      <c r="J112" s="115"/>
      <c r="K112" s="44"/>
      <c r="L112" s="170"/>
      <c r="M112" s="172"/>
      <c r="N112" s="175"/>
      <c r="O112" s="170"/>
      <c r="P112" s="172"/>
      <c r="Q112" s="175"/>
      <c r="R112" s="158"/>
      <c r="S112" s="161"/>
      <c r="T112" s="176"/>
      <c r="U112" s="158"/>
      <c r="V112" s="161"/>
      <c r="W112" s="164"/>
      <c r="X112" s="141"/>
      <c r="Y112" s="141"/>
      <c r="Z112" s="183"/>
      <c r="AA112" s="197"/>
      <c r="AB112" s="241"/>
    </row>
    <row r="113" spans="1:28" x14ac:dyDescent="0.25">
      <c r="A113" s="15">
        <v>44782</v>
      </c>
      <c r="B113" s="9"/>
      <c r="C113" s="8"/>
      <c r="D113" s="9"/>
      <c r="E113" s="8"/>
      <c r="F113" s="33">
        <f>IF(COUNTIF(B113:E113,0)=4,0,IF(COUNTIF(B113:E113,0)=2,$AD$3,$AC$3))</f>
        <v>0.30833333333333335</v>
      </c>
      <c r="G113" s="34">
        <f>IF(COUNTIF(B113:E113,0)=4,0,IF(COUNTIF(B113:E113,0)=2,$AD$7,$AC$7))</f>
        <v>1.6666666666666666E-2</v>
      </c>
      <c r="H113" s="60">
        <f t="shared" si="48"/>
        <v>0.32500000000000001</v>
      </c>
      <c r="I113" s="33">
        <f t="shared" si="49"/>
        <v>0.30833333333333335</v>
      </c>
      <c r="J113" s="112">
        <f t="shared" si="35"/>
        <v>0</v>
      </c>
      <c r="K113" s="24">
        <f>((C113-B113)+(E113-D113))</f>
        <v>0</v>
      </c>
      <c r="L113" s="157">
        <f t="shared" ref="L113:M113" si="78">SUM(F113:F119)</f>
        <v>1.5416666666666667</v>
      </c>
      <c r="M113" s="160">
        <f t="shared" si="78"/>
        <v>8.3333333333333329E-2</v>
      </c>
      <c r="N113" s="173">
        <f t="shared" ref="N113" si="79">L113+M113</f>
        <v>1.625</v>
      </c>
      <c r="O113" s="157">
        <f t="shared" ref="O113:P113" si="80">SUM(I113:I119)</f>
        <v>1.5416666666666667</v>
      </c>
      <c r="P113" s="160">
        <f t="shared" si="80"/>
        <v>0</v>
      </c>
      <c r="Q113" s="173">
        <f t="shared" ref="Q113" si="81">O113+P113</f>
        <v>1.5416666666666667</v>
      </c>
      <c r="R113" s="158"/>
      <c r="S113" s="161"/>
      <c r="T113" s="176"/>
      <c r="U113" s="158"/>
      <c r="V113" s="161"/>
      <c r="W113" s="164"/>
      <c r="X113" s="141">
        <f t="shared" ref="X113" si="82">(SUM(G113:G119)*24)*($AC$14+$AC$14*$AD$14)</f>
        <v>66.207250000000002</v>
      </c>
      <c r="Y113" s="141">
        <f t="shared" ref="Y113" si="83">(SUM(J113:J119)*24)*($AC$14+$AC$14*$AD$14)</f>
        <v>0</v>
      </c>
      <c r="Z113" s="183"/>
      <c r="AA113" s="197"/>
      <c r="AB113" s="241"/>
    </row>
    <row r="114" spans="1:28" x14ac:dyDescent="0.25">
      <c r="A114" s="16">
        <v>44783</v>
      </c>
      <c r="B114" s="12"/>
      <c r="C114" s="11"/>
      <c r="D114" s="12"/>
      <c r="E114" s="11"/>
      <c r="F114" s="35">
        <f>IF(COUNTIF(B114:E114,0)=4,0,IF(COUNTIF(B114:E114,0)=2,$AD$3,$AC$3))</f>
        <v>0.30833333333333335</v>
      </c>
      <c r="G114" s="36">
        <f>IF(COUNTIF(B114:E114,0)=4,0,IF(COUNTIF(B114:E114,0)=2,$AD$7,$AC$7))</f>
        <v>1.6666666666666666E-2</v>
      </c>
      <c r="H114" s="61">
        <f t="shared" si="48"/>
        <v>0.32500000000000001</v>
      </c>
      <c r="I114" s="35">
        <f t="shared" si="49"/>
        <v>0.30833333333333335</v>
      </c>
      <c r="J114" s="112">
        <f t="shared" si="35"/>
        <v>0</v>
      </c>
      <c r="K114" s="25">
        <f>((C114-B114)+(E114-D114))</f>
        <v>0</v>
      </c>
      <c r="L114" s="169"/>
      <c r="M114" s="171"/>
      <c r="N114" s="174"/>
      <c r="O114" s="169"/>
      <c r="P114" s="171"/>
      <c r="Q114" s="174"/>
      <c r="R114" s="158"/>
      <c r="S114" s="161"/>
      <c r="T114" s="176"/>
      <c r="U114" s="158"/>
      <c r="V114" s="161"/>
      <c r="W114" s="164"/>
      <c r="X114" s="141"/>
      <c r="Y114" s="141"/>
      <c r="Z114" s="183"/>
      <c r="AA114" s="197"/>
      <c r="AB114" s="241"/>
    </row>
    <row r="115" spans="1:28" x14ac:dyDescent="0.25">
      <c r="A115" s="16">
        <v>44784</v>
      </c>
      <c r="B115" s="12"/>
      <c r="C115" s="11"/>
      <c r="D115" s="12"/>
      <c r="E115" s="11"/>
      <c r="F115" s="35">
        <f>IF(COUNTIF(B115:E115,0)=4,0,IF(COUNTIF(B115:E115,0)=2,$AD$3,$AC$3))</f>
        <v>0.30833333333333335</v>
      </c>
      <c r="G115" s="36">
        <f>IF(COUNTIF(B115:E115,0)=4,0,IF(COUNTIF(B115:E115,0)=2,$AD$7,$AC$7))</f>
        <v>1.6666666666666666E-2</v>
      </c>
      <c r="H115" s="61">
        <f t="shared" si="48"/>
        <v>0.32500000000000001</v>
      </c>
      <c r="I115" s="35">
        <f t="shared" si="49"/>
        <v>0.30833333333333335</v>
      </c>
      <c r="J115" s="112">
        <f t="shared" ref="J115:J178" si="84">IF(K115-I115&lt;0,0,K115-I115)</f>
        <v>0</v>
      </c>
      <c r="K115" s="25">
        <f>((C115-B115)+(E115-D115))</f>
        <v>0</v>
      </c>
      <c r="L115" s="169"/>
      <c r="M115" s="171"/>
      <c r="N115" s="174"/>
      <c r="O115" s="169"/>
      <c r="P115" s="171"/>
      <c r="Q115" s="174"/>
      <c r="R115" s="158"/>
      <c r="S115" s="161"/>
      <c r="T115" s="176"/>
      <c r="U115" s="158"/>
      <c r="V115" s="161"/>
      <c r="W115" s="164"/>
      <c r="X115" s="141"/>
      <c r="Y115" s="141"/>
      <c r="Z115" s="183"/>
      <c r="AA115" s="197"/>
      <c r="AB115" s="241"/>
    </row>
    <row r="116" spans="1:28" x14ac:dyDescent="0.25">
      <c r="A116" s="16">
        <v>44785</v>
      </c>
      <c r="B116" s="12"/>
      <c r="C116" s="11"/>
      <c r="D116" s="12"/>
      <c r="E116" s="11"/>
      <c r="F116" s="35">
        <f>IF(COUNTIF(B116:E116,0)=4,0,IF(COUNTIF(B116:E116,0)=2,$AD$3,$AC$3))</f>
        <v>0.30833333333333335</v>
      </c>
      <c r="G116" s="36">
        <f>IF(COUNTIF(B116:E116,0)=4,0,IF(COUNTIF(B116:E116,0)=2,$AD$7,$AC$7))</f>
        <v>1.6666666666666666E-2</v>
      </c>
      <c r="H116" s="61">
        <f t="shared" si="48"/>
        <v>0.32500000000000001</v>
      </c>
      <c r="I116" s="35">
        <f t="shared" si="49"/>
        <v>0.30833333333333335</v>
      </c>
      <c r="J116" s="112">
        <f t="shared" si="84"/>
        <v>0</v>
      </c>
      <c r="K116" s="25">
        <f>((C116-B116)+(E116-D116))</f>
        <v>0</v>
      </c>
      <c r="L116" s="169"/>
      <c r="M116" s="171"/>
      <c r="N116" s="174"/>
      <c r="O116" s="169"/>
      <c r="P116" s="171"/>
      <c r="Q116" s="174"/>
      <c r="R116" s="158"/>
      <c r="S116" s="161"/>
      <c r="T116" s="176"/>
      <c r="U116" s="158"/>
      <c r="V116" s="161"/>
      <c r="W116" s="164"/>
      <c r="X116" s="141"/>
      <c r="Y116" s="141"/>
      <c r="Z116" s="183"/>
      <c r="AA116" s="197"/>
      <c r="AB116" s="241"/>
    </row>
    <row r="117" spans="1:28" x14ac:dyDescent="0.25">
      <c r="A117" s="16">
        <v>44786</v>
      </c>
      <c r="B117" s="12"/>
      <c r="C117" s="11"/>
      <c r="D117" s="12"/>
      <c r="E117" s="11"/>
      <c r="F117" s="47">
        <f>IF(COUNTIF(B117:E117,0)=4,0,IF(COUNTIF(B117:E117,0)=2,$AD$3,$AC$3))</f>
        <v>0.30833333333333335</v>
      </c>
      <c r="G117" s="48">
        <f>IF(COUNTIF(B117:E117,0)=4,0,IF(COUNTIF(B117:E117,0)=2,$AD$7,$AC$7))</f>
        <v>1.6666666666666666E-2</v>
      </c>
      <c r="H117" s="62">
        <f t="shared" si="48"/>
        <v>0.32500000000000001</v>
      </c>
      <c r="I117" s="47">
        <f t="shared" si="49"/>
        <v>0.30833333333333335</v>
      </c>
      <c r="J117" s="112">
        <f t="shared" si="84"/>
        <v>0</v>
      </c>
      <c r="K117" s="49">
        <f>((C117-B117)+(E117-D117))</f>
        <v>0</v>
      </c>
      <c r="L117" s="169"/>
      <c r="M117" s="171"/>
      <c r="N117" s="174"/>
      <c r="O117" s="169"/>
      <c r="P117" s="171"/>
      <c r="Q117" s="174"/>
      <c r="R117" s="158"/>
      <c r="S117" s="161"/>
      <c r="T117" s="176"/>
      <c r="U117" s="158"/>
      <c r="V117" s="161"/>
      <c r="W117" s="164"/>
      <c r="X117" s="141"/>
      <c r="Y117" s="141"/>
      <c r="Z117" s="183"/>
      <c r="AA117" s="197"/>
      <c r="AB117" s="241"/>
    </row>
    <row r="118" spans="1:28" x14ac:dyDescent="0.25">
      <c r="A118" s="18">
        <v>44787</v>
      </c>
      <c r="B118" s="3"/>
      <c r="C118" s="1"/>
      <c r="D118" s="3"/>
      <c r="E118" s="1"/>
      <c r="F118" s="39"/>
      <c r="G118" s="40"/>
      <c r="H118" s="57"/>
      <c r="I118" s="39"/>
      <c r="J118" s="114"/>
      <c r="K118" s="41"/>
      <c r="L118" s="169"/>
      <c r="M118" s="171"/>
      <c r="N118" s="174"/>
      <c r="O118" s="169"/>
      <c r="P118" s="171"/>
      <c r="Q118" s="174"/>
      <c r="R118" s="158"/>
      <c r="S118" s="161"/>
      <c r="T118" s="176"/>
      <c r="U118" s="158"/>
      <c r="V118" s="161"/>
      <c r="W118" s="164"/>
      <c r="X118" s="141"/>
      <c r="Y118" s="141"/>
      <c r="Z118" s="183"/>
      <c r="AA118" s="197"/>
      <c r="AB118" s="241"/>
    </row>
    <row r="119" spans="1:28" x14ac:dyDescent="0.25">
      <c r="A119" s="19">
        <v>44788</v>
      </c>
      <c r="B119" s="4"/>
      <c r="C119" s="2"/>
      <c r="D119" s="4"/>
      <c r="E119" s="2"/>
      <c r="F119" s="42"/>
      <c r="G119" s="43"/>
      <c r="H119" s="58"/>
      <c r="I119" s="42"/>
      <c r="J119" s="115"/>
      <c r="K119" s="44"/>
      <c r="L119" s="170"/>
      <c r="M119" s="172"/>
      <c r="N119" s="175"/>
      <c r="O119" s="170"/>
      <c r="P119" s="172"/>
      <c r="Q119" s="175"/>
      <c r="R119" s="158"/>
      <c r="S119" s="161"/>
      <c r="T119" s="176"/>
      <c r="U119" s="158"/>
      <c r="V119" s="161"/>
      <c r="W119" s="164"/>
      <c r="X119" s="141"/>
      <c r="Y119" s="141"/>
      <c r="Z119" s="183"/>
      <c r="AA119" s="197"/>
      <c r="AB119" s="241"/>
    </row>
    <row r="120" spans="1:28" x14ac:dyDescent="0.25">
      <c r="A120" s="15">
        <v>44789</v>
      </c>
      <c r="B120" s="9"/>
      <c r="C120" s="8"/>
      <c r="D120" s="9"/>
      <c r="E120" s="8"/>
      <c r="F120" s="33">
        <f>IF(COUNTIF(B120:E120,0)=4,0,IF(COUNTIF(B120:E120,0)=2,$AD$3,$AC$3))</f>
        <v>0.30833333333333335</v>
      </c>
      <c r="G120" s="34">
        <f>IF(COUNTIF(B120:E120,0)=4,0,IF(COUNTIF(B120:E120,0)=2,$AD$7,$AC$7))</f>
        <v>1.6666666666666666E-2</v>
      </c>
      <c r="H120" s="60">
        <f t="shared" si="48"/>
        <v>0.32500000000000001</v>
      </c>
      <c r="I120" s="33">
        <f t="shared" si="49"/>
        <v>0.30833333333333335</v>
      </c>
      <c r="J120" s="112">
        <f t="shared" si="84"/>
        <v>0</v>
      </c>
      <c r="K120" s="24">
        <f>((C120-B120)+(E120-D120))</f>
        <v>0</v>
      </c>
      <c r="L120" s="157">
        <f t="shared" ref="L120:M120" si="85">SUM(F120:F126)</f>
        <v>1.5416666666666667</v>
      </c>
      <c r="M120" s="160">
        <f t="shared" si="85"/>
        <v>8.3333333333333329E-2</v>
      </c>
      <c r="N120" s="173">
        <f t="shared" ref="N120" si="86">L120+M120</f>
        <v>1.625</v>
      </c>
      <c r="O120" s="157">
        <f t="shared" ref="O120:P120" si="87">SUM(I120:I126)</f>
        <v>1.5416666666666667</v>
      </c>
      <c r="P120" s="160">
        <f t="shared" si="87"/>
        <v>0</v>
      </c>
      <c r="Q120" s="173">
        <f t="shared" ref="Q120" si="88">O120+P120</f>
        <v>1.5416666666666667</v>
      </c>
      <c r="R120" s="158"/>
      <c r="S120" s="161"/>
      <c r="T120" s="176"/>
      <c r="U120" s="158"/>
      <c r="V120" s="161"/>
      <c r="W120" s="164"/>
      <c r="X120" s="141">
        <f t="shared" ref="X120" si="89">(SUM(G120:G126)*24)*($AC$14+$AC$14*$AD$14)</f>
        <v>66.207250000000002</v>
      </c>
      <c r="Y120" s="141">
        <f t="shared" ref="Y120" si="90">(SUM(J120:J126)*24)*($AC$14+$AC$14*$AD$14)</f>
        <v>0</v>
      </c>
      <c r="Z120" s="183"/>
      <c r="AA120" s="197"/>
      <c r="AB120" s="241"/>
    </row>
    <row r="121" spans="1:28" x14ac:dyDescent="0.25">
      <c r="A121" s="16">
        <v>44790</v>
      </c>
      <c r="B121" s="12"/>
      <c r="C121" s="11"/>
      <c r="D121" s="12"/>
      <c r="E121" s="11"/>
      <c r="F121" s="35">
        <f>IF(COUNTIF(B121:E121,0)=4,0,IF(COUNTIF(B121:E121,0)=2,$AD$3,$AC$3))</f>
        <v>0.30833333333333335</v>
      </c>
      <c r="G121" s="36">
        <f>IF(COUNTIF(B121:E121,0)=4,0,IF(COUNTIF(B121:E121,0)=2,$AD$7,$AC$7))</f>
        <v>1.6666666666666666E-2</v>
      </c>
      <c r="H121" s="61">
        <f t="shared" si="48"/>
        <v>0.32500000000000001</v>
      </c>
      <c r="I121" s="35">
        <f t="shared" si="49"/>
        <v>0.30833333333333335</v>
      </c>
      <c r="J121" s="112">
        <f t="shared" si="84"/>
        <v>0</v>
      </c>
      <c r="K121" s="25">
        <f>((C121-B121)+(E121-D121))</f>
        <v>0</v>
      </c>
      <c r="L121" s="169"/>
      <c r="M121" s="171"/>
      <c r="N121" s="174"/>
      <c r="O121" s="169"/>
      <c r="P121" s="171"/>
      <c r="Q121" s="174"/>
      <c r="R121" s="158"/>
      <c r="S121" s="161"/>
      <c r="T121" s="176"/>
      <c r="U121" s="158"/>
      <c r="V121" s="161"/>
      <c r="W121" s="164"/>
      <c r="X121" s="141"/>
      <c r="Y121" s="141"/>
      <c r="Z121" s="183"/>
      <c r="AA121" s="197"/>
      <c r="AB121" s="241"/>
    </row>
    <row r="122" spans="1:28" x14ac:dyDescent="0.25">
      <c r="A122" s="16">
        <v>44791</v>
      </c>
      <c r="B122" s="12"/>
      <c r="C122" s="11"/>
      <c r="D122" s="12"/>
      <c r="E122" s="11"/>
      <c r="F122" s="35">
        <f>IF(COUNTIF(B122:E122,0)=4,0,IF(COUNTIF(B122:E122,0)=2,$AD$3,$AC$3))</f>
        <v>0.30833333333333335</v>
      </c>
      <c r="G122" s="36">
        <f>IF(COUNTIF(B122:E122,0)=4,0,IF(COUNTIF(B122:E122,0)=2,$AD$7,$AC$7))</f>
        <v>1.6666666666666666E-2</v>
      </c>
      <c r="H122" s="61">
        <f t="shared" si="48"/>
        <v>0.32500000000000001</v>
      </c>
      <c r="I122" s="35">
        <f t="shared" si="49"/>
        <v>0.30833333333333335</v>
      </c>
      <c r="J122" s="112">
        <f t="shared" si="84"/>
        <v>0</v>
      </c>
      <c r="K122" s="25">
        <f>((C122-B122)+(E122-D122))</f>
        <v>0</v>
      </c>
      <c r="L122" s="169"/>
      <c r="M122" s="171"/>
      <c r="N122" s="174"/>
      <c r="O122" s="169"/>
      <c r="P122" s="171"/>
      <c r="Q122" s="174"/>
      <c r="R122" s="158"/>
      <c r="S122" s="161"/>
      <c r="T122" s="176"/>
      <c r="U122" s="158"/>
      <c r="V122" s="161"/>
      <c r="W122" s="164"/>
      <c r="X122" s="141"/>
      <c r="Y122" s="141"/>
      <c r="Z122" s="183"/>
      <c r="AA122" s="197"/>
      <c r="AB122" s="241"/>
    </row>
    <row r="123" spans="1:28" x14ac:dyDescent="0.25">
      <c r="A123" s="16">
        <v>44792</v>
      </c>
      <c r="B123" s="12"/>
      <c r="C123" s="11"/>
      <c r="D123" s="12"/>
      <c r="E123" s="11"/>
      <c r="F123" s="35">
        <f>IF(COUNTIF(B123:E123,0)=4,0,IF(COUNTIF(B123:E123,0)=2,$AD$3,$AC$3))</f>
        <v>0.30833333333333335</v>
      </c>
      <c r="G123" s="36">
        <f>IF(COUNTIF(B123:E123,0)=4,0,IF(COUNTIF(B123:E123,0)=2,$AD$7,$AC$7))</f>
        <v>1.6666666666666666E-2</v>
      </c>
      <c r="H123" s="61">
        <f t="shared" si="48"/>
        <v>0.32500000000000001</v>
      </c>
      <c r="I123" s="35">
        <f t="shared" si="49"/>
        <v>0.30833333333333335</v>
      </c>
      <c r="J123" s="112">
        <f t="shared" si="84"/>
        <v>0</v>
      </c>
      <c r="K123" s="25">
        <f>((C123-B123)+(E123-D123))</f>
        <v>0</v>
      </c>
      <c r="L123" s="169"/>
      <c r="M123" s="171"/>
      <c r="N123" s="174"/>
      <c r="O123" s="169"/>
      <c r="P123" s="171"/>
      <c r="Q123" s="174"/>
      <c r="R123" s="158"/>
      <c r="S123" s="161"/>
      <c r="T123" s="176"/>
      <c r="U123" s="158"/>
      <c r="V123" s="161"/>
      <c r="W123" s="164"/>
      <c r="X123" s="141"/>
      <c r="Y123" s="141"/>
      <c r="Z123" s="183"/>
      <c r="AA123" s="197"/>
      <c r="AB123" s="241"/>
    </row>
    <row r="124" spans="1:28" x14ac:dyDescent="0.25">
      <c r="A124" s="16">
        <v>44793</v>
      </c>
      <c r="B124" s="12"/>
      <c r="C124" s="11"/>
      <c r="D124" s="12"/>
      <c r="E124" s="11"/>
      <c r="F124" s="47">
        <f>IF(COUNTIF(B124:E124,0)=4,0,IF(COUNTIF(B124:E124,0)=2,$AD$3,$AC$3))</f>
        <v>0.30833333333333335</v>
      </c>
      <c r="G124" s="48">
        <f>IF(COUNTIF(B124:E124,0)=4,0,IF(COUNTIF(B124:E124,0)=2,$AD$7,$AC$7))</f>
        <v>1.6666666666666666E-2</v>
      </c>
      <c r="H124" s="62">
        <f t="shared" si="48"/>
        <v>0.32500000000000001</v>
      </c>
      <c r="I124" s="47">
        <f t="shared" si="49"/>
        <v>0.30833333333333335</v>
      </c>
      <c r="J124" s="112">
        <f t="shared" si="84"/>
        <v>0</v>
      </c>
      <c r="K124" s="49">
        <f>((C124-B124)+(E124-D124))</f>
        <v>0</v>
      </c>
      <c r="L124" s="169"/>
      <c r="M124" s="171"/>
      <c r="N124" s="174"/>
      <c r="O124" s="169"/>
      <c r="P124" s="171"/>
      <c r="Q124" s="174"/>
      <c r="R124" s="158"/>
      <c r="S124" s="161"/>
      <c r="T124" s="176"/>
      <c r="U124" s="158"/>
      <c r="V124" s="161"/>
      <c r="W124" s="164"/>
      <c r="X124" s="141"/>
      <c r="Y124" s="141"/>
      <c r="Z124" s="183"/>
      <c r="AA124" s="197"/>
      <c r="AB124" s="241"/>
    </row>
    <row r="125" spans="1:28" s="72" customFormat="1" x14ac:dyDescent="0.25">
      <c r="A125" s="83">
        <v>44794</v>
      </c>
      <c r="B125" s="84"/>
      <c r="C125" s="85"/>
      <c r="D125" s="84"/>
      <c r="E125" s="85"/>
      <c r="F125" s="86"/>
      <c r="G125" s="87"/>
      <c r="H125" s="88"/>
      <c r="I125" s="86"/>
      <c r="J125" s="114"/>
      <c r="K125" s="89"/>
      <c r="L125" s="169"/>
      <c r="M125" s="171"/>
      <c r="N125" s="174"/>
      <c r="O125" s="169"/>
      <c r="P125" s="171"/>
      <c r="Q125" s="174"/>
      <c r="R125" s="158"/>
      <c r="S125" s="161"/>
      <c r="T125" s="176"/>
      <c r="U125" s="158"/>
      <c r="V125" s="161"/>
      <c r="W125" s="164"/>
      <c r="X125" s="141"/>
      <c r="Y125" s="141"/>
      <c r="Z125" s="183"/>
      <c r="AA125" s="197"/>
      <c r="AB125" s="241"/>
    </row>
    <row r="126" spans="1:28" x14ac:dyDescent="0.25">
      <c r="A126" s="19">
        <v>44795</v>
      </c>
      <c r="B126" s="4"/>
      <c r="C126" s="2"/>
      <c r="D126" s="4"/>
      <c r="E126" s="2"/>
      <c r="F126" s="42"/>
      <c r="G126" s="43"/>
      <c r="H126" s="58"/>
      <c r="I126" s="42"/>
      <c r="J126" s="115"/>
      <c r="K126" s="44"/>
      <c r="L126" s="170"/>
      <c r="M126" s="172"/>
      <c r="N126" s="175"/>
      <c r="O126" s="170"/>
      <c r="P126" s="172"/>
      <c r="Q126" s="175"/>
      <c r="R126" s="158"/>
      <c r="S126" s="161"/>
      <c r="T126" s="176"/>
      <c r="U126" s="158"/>
      <c r="V126" s="161"/>
      <c r="W126" s="164"/>
      <c r="X126" s="141"/>
      <c r="Y126" s="141"/>
      <c r="Z126" s="183"/>
      <c r="AA126" s="197"/>
      <c r="AB126" s="241"/>
    </row>
    <row r="127" spans="1:28" x14ac:dyDescent="0.25">
      <c r="A127" s="15">
        <v>44796</v>
      </c>
      <c r="B127" s="9"/>
      <c r="C127" s="8"/>
      <c r="D127" s="9"/>
      <c r="E127" s="8"/>
      <c r="F127" s="33">
        <f>IF(COUNTIF(B127:E127,0)=4,0,IF(COUNTIF(B127:E127,0)=2,$AD$3,$AC$3))</f>
        <v>0.30833333333333335</v>
      </c>
      <c r="G127" s="34">
        <f>IF(COUNTIF(B127:E127,0)=4,0,IF(COUNTIF(B127:E127,0)=2,$AD$7,$AC$7))</f>
        <v>1.6666666666666666E-2</v>
      </c>
      <c r="H127" s="60">
        <f t="shared" si="48"/>
        <v>0.32500000000000001</v>
      </c>
      <c r="I127" s="33">
        <f t="shared" si="49"/>
        <v>0.30833333333333335</v>
      </c>
      <c r="J127" s="112">
        <f t="shared" si="84"/>
        <v>0</v>
      </c>
      <c r="K127" s="24">
        <f>((C127-B127)+(E127-D127))</f>
        <v>0</v>
      </c>
      <c r="L127" s="157">
        <f t="shared" ref="L127:M127" si="91">SUM(F127:F133)</f>
        <v>1.5416666666666667</v>
      </c>
      <c r="M127" s="160">
        <f t="shared" si="91"/>
        <v>8.3333333333333329E-2</v>
      </c>
      <c r="N127" s="173">
        <f t="shared" ref="N127" si="92">L127+M127</f>
        <v>1.625</v>
      </c>
      <c r="O127" s="157">
        <f t="shared" ref="O127:P127" si="93">SUM(I127:I133)</f>
        <v>1.5416666666666667</v>
      </c>
      <c r="P127" s="160">
        <f t="shared" si="93"/>
        <v>0</v>
      </c>
      <c r="Q127" s="173">
        <f t="shared" ref="Q127" si="94">O127+P127</f>
        <v>1.5416666666666667</v>
      </c>
      <c r="R127" s="158"/>
      <c r="S127" s="161"/>
      <c r="T127" s="176"/>
      <c r="U127" s="158"/>
      <c r="V127" s="161"/>
      <c r="W127" s="164"/>
      <c r="X127" s="141">
        <f t="shared" ref="X127" si="95">(SUM(G127:G133)*24)*($AC$14+$AC$14*$AD$14)</f>
        <v>66.207250000000002</v>
      </c>
      <c r="Y127" s="141">
        <f t="shared" ref="Y127" si="96">(SUM(J127:J133)*24)*($AC$14+$AC$14*$AD$14)</f>
        <v>0</v>
      </c>
      <c r="Z127" s="183"/>
      <c r="AA127" s="197"/>
      <c r="AB127" s="241"/>
    </row>
    <row r="128" spans="1:28" x14ac:dyDescent="0.25">
      <c r="A128" s="16">
        <v>44797</v>
      </c>
      <c r="B128" s="12"/>
      <c r="C128" s="11"/>
      <c r="D128" s="12"/>
      <c r="E128" s="11"/>
      <c r="F128" s="35">
        <f>IF(COUNTIF(B128:E128,0)=4,0,IF(COUNTIF(B128:E128,0)=2,$AD$3,$AC$3))</f>
        <v>0.30833333333333335</v>
      </c>
      <c r="G128" s="36">
        <f>IF(COUNTIF(B128:E128,0)=4,0,IF(COUNTIF(B128:E128,0)=2,$AD$7,$AC$7))</f>
        <v>1.6666666666666666E-2</v>
      </c>
      <c r="H128" s="61">
        <f t="shared" si="48"/>
        <v>0.32500000000000001</v>
      </c>
      <c r="I128" s="35">
        <f t="shared" si="49"/>
        <v>0.30833333333333335</v>
      </c>
      <c r="J128" s="112">
        <f t="shared" si="84"/>
        <v>0</v>
      </c>
      <c r="K128" s="25">
        <f>((C128-B128)+(E128-D128))</f>
        <v>0</v>
      </c>
      <c r="L128" s="169"/>
      <c r="M128" s="171"/>
      <c r="N128" s="174"/>
      <c r="O128" s="169"/>
      <c r="P128" s="171"/>
      <c r="Q128" s="174"/>
      <c r="R128" s="158"/>
      <c r="S128" s="161"/>
      <c r="T128" s="176"/>
      <c r="U128" s="158"/>
      <c r="V128" s="161"/>
      <c r="W128" s="164"/>
      <c r="X128" s="141"/>
      <c r="Y128" s="141"/>
      <c r="Z128" s="183"/>
      <c r="AA128" s="197"/>
      <c r="AB128" s="241"/>
    </row>
    <row r="129" spans="1:28" x14ac:dyDescent="0.25">
      <c r="A129" s="16">
        <v>44798</v>
      </c>
      <c r="B129" s="12"/>
      <c r="C129" s="11"/>
      <c r="D129" s="12"/>
      <c r="E129" s="11"/>
      <c r="F129" s="35">
        <f>IF(COUNTIF(B129:E129,0)=4,0,IF(COUNTIF(B129:E129,0)=2,$AD$3,$AC$3))</f>
        <v>0.30833333333333335</v>
      </c>
      <c r="G129" s="36">
        <f>IF(COUNTIF(B129:E129,0)=4,0,IF(COUNTIF(B129:E129,0)=2,$AD$7,$AC$7))</f>
        <v>1.6666666666666666E-2</v>
      </c>
      <c r="H129" s="61">
        <f t="shared" si="48"/>
        <v>0.32500000000000001</v>
      </c>
      <c r="I129" s="35">
        <f t="shared" si="49"/>
        <v>0.30833333333333335</v>
      </c>
      <c r="J129" s="112">
        <f t="shared" si="84"/>
        <v>0</v>
      </c>
      <c r="K129" s="25">
        <f>((C129-B129)+(E129-D129))</f>
        <v>0</v>
      </c>
      <c r="L129" s="169"/>
      <c r="M129" s="171"/>
      <c r="N129" s="174"/>
      <c r="O129" s="169"/>
      <c r="P129" s="171"/>
      <c r="Q129" s="174"/>
      <c r="R129" s="158"/>
      <c r="S129" s="161"/>
      <c r="T129" s="176"/>
      <c r="U129" s="158"/>
      <c r="V129" s="161"/>
      <c r="W129" s="164"/>
      <c r="X129" s="141"/>
      <c r="Y129" s="141"/>
      <c r="Z129" s="183"/>
      <c r="AA129" s="197"/>
      <c r="AB129" s="241"/>
    </row>
    <row r="130" spans="1:28" x14ac:dyDescent="0.25">
      <c r="A130" s="16">
        <v>44799</v>
      </c>
      <c r="B130" s="12"/>
      <c r="C130" s="11"/>
      <c r="D130" s="12"/>
      <c r="E130" s="11"/>
      <c r="F130" s="35">
        <f>IF(COUNTIF(B130:E130,0)=4,0,IF(COUNTIF(B130:E130,0)=2,$AD$3,$AC$3))</f>
        <v>0.30833333333333335</v>
      </c>
      <c r="G130" s="36">
        <f>IF(COUNTIF(B130:E130,0)=4,0,IF(COUNTIF(B130:E130,0)=2,$AD$7,$AC$7))</f>
        <v>1.6666666666666666E-2</v>
      </c>
      <c r="H130" s="61">
        <f t="shared" si="48"/>
        <v>0.32500000000000001</v>
      </c>
      <c r="I130" s="35">
        <f t="shared" si="49"/>
        <v>0.30833333333333335</v>
      </c>
      <c r="J130" s="112">
        <f t="shared" si="84"/>
        <v>0</v>
      </c>
      <c r="K130" s="25">
        <f>((C130-B130)+(E130-D130))</f>
        <v>0</v>
      </c>
      <c r="L130" s="169"/>
      <c r="M130" s="171"/>
      <c r="N130" s="174"/>
      <c r="O130" s="169"/>
      <c r="P130" s="171"/>
      <c r="Q130" s="174"/>
      <c r="R130" s="158"/>
      <c r="S130" s="161"/>
      <c r="T130" s="176"/>
      <c r="U130" s="158"/>
      <c r="V130" s="161"/>
      <c r="W130" s="164"/>
      <c r="X130" s="141"/>
      <c r="Y130" s="141"/>
      <c r="Z130" s="183"/>
      <c r="AA130" s="197"/>
      <c r="AB130" s="241"/>
    </row>
    <row r="131" spans="1:28" x14ac:dyDescent="0.25">
      <c r="A131" s="16">
        <v>44800</v>
      </c>
      <c r="B131" s="12"/>
      <c r="C131" s="11"/>
      <c r="D131" s="12"/>
      <c r="E131" s="11"/>
      <c r="F131" s="47">
        <f>IF(COUNTIF(B131:E131,0)=4,0,IF(COUNTIF(B131:E131,0)=2,$AD$3,$AC$3))</f>
        <v>0.30833333333333335</v>
      </c>
      <c r="G131" s="48">
        <f>IF(COUNTIF(B131:E131,0)=4,0,IF(COUNTIF(B131:E131,0)=2,$AD$7,$AC$7))</f>
        <v>1.6666666666666666E-2</v>
      </c>
      <c r="H131" s="62">
        <f t="shared" si="48"/>
        <v>0.32500000000000001</v>
      </c>
      <c r="I131" s="47">
        <f t="shared" si="49"/>
        <v>0.30833333333333335</v>
      </c>
      <c r="J131" s="112">
        <f t="shared" si="84"/>
        <v>0</v>
      </c>
      <c r="K131" s="49">
        <f>((C131-B131)+(E131-D131))</f>
        <v>0</v>
      </c>
      <c r="L131" s="169"/>
      <c r="M131" s="171"/>
      <c r="N131" s="174"/>
      <c r="O131" s="169"/>
      <c r="P131" s="171"/>
      <c r="Q131" s="174"/>
      <c r="R131" s="158"/>
      <c r="S131" s="161"/>
      <c r="T131" s="176"/>
      <c r="U131" s="158"/>
      <c r="V131" s="161"/>
      <c r="W131" s="164"/>
      <c r="X131" s="141"/>
      <c r="Y131" s="141"/>
      <c r="Z131" s="183"/>
      <c r="AA131" s="197"/>
      <c r="AB131" s="241"/>
    </row>
    <row r="132" spans="1:28" x14ac:dyDescent="0.25">
      <c r="A132" s="18">
        <v>44801</v>
      </c>
      <c r="B132" s="3"/>
      <c r="C132" s="1"/>
      <c r="D132" s="3"/>
      <c r="E132" s="1"/>
      <c r="F132" s="39"/>
      <c r="G132" s="40"/>
      <c r="H132" s="57"/>
      <c r="I132" s="39"/>
      <c r="J132" s="114"/>
      <c r="K132" s="41"/>
      <c r="L132" s="169"/>
      <c r="M132" s="171"/>
      <c r="N132" s="174"/>
      <c r="O132" s="169"/>
      <c r="P132" s="171"/>
      <c r="Q132" s="174"/>
      <c r="R132" s="158"/>
      <c r="S132" s="161"/>
      <c r="T132" s="176"/>
      <c r="U132" s="158"/>
      <c r="V132" s="161"/>
      <c r="W132" s="164"/>
      <c r="X132" s="141"/>
      <c r="Y132" s="141"/>
      <c r="Z132" s="183"/>
      <c r="AA132" s="197"/>
      <c r="AB132" s="241"/>
    </row>
    <row r="133" spans="1:28" x14ac:dyDescent="0.25">
      <c r="A133" s="19">
        <v>44802</v>
      </c>
      <c r="B133" s="4"/>
      <c r="C133" s="2"/>
      <c r="D133" s="4"/>
      <c r="E133" s="2"/>
      <c r="F133" s="42"/>
      <c r="G133" s="43"/>
      <c r="H133" s="58"/>
      <c r="I133" s="42"/>
      <c r="J133" s="115"/>
      <c r="K133" s="44"/>
      <c r="L133" s="170"/>
      <c r="M133" s="172"/>
      <c r="N133" s="175"/>
      <c r="O133" s="170"/>
      <c r="P133" s="172"/>
      <c r="Q133" s="175"/>
      <c r="R133" s="158"/>
      <c r="S133" s="161"/>
      <c r="T133" s="176"/>
      <c r="U133" s="158"/>
      <c r="V133" s="161"/>
      <c r="W133" s="164"/>
      <c r="X133" s="141"/>
      <c r="Y133" s="141"/>
      <c r="Z133" s="183"/>
      <c r="AA133" s="197"/>
      <c r="AB133" s="241"/>
    </row>
    <row r="134" spans="1:28" x14ac:dyDescent="0.25">
      <c r="A134" s="15">
        <v>44803</v>
      </c>
      <c r="B134" s="9"/>
      <c r="C134" s="8"/>
      <c r="D134" s="9"/>
      <c r="E134" s="8"/>
      <c r="F134" s="33">
        <f>IF(COUNTIF(B134:E134,0)=4,0,IF(COUNTIF(B134:E134,0)=2,$AD$3,$AC$3))</f>
        <v>0.30833333333333335</v>
      </c>
      <c r="G134" s="34">
        <f>IF(COUNTIF(B134:E134,0)=4,0,IF(COUNTIF(B134:E134,0)=2,$AD$7,$AC$7))</f>
        <v>1.6666666666666666E-2</v>
      </c>
      <c r="H134" s="60">
        <f t="shared" ref="H134:H194" si="97">SUM(F134:G134)</f>
        <v>0.32500000000000001</v>
      </c>
      <c r="I134" s="33">
        <f t="shared" ref="I134:I194" si="98">F134</f>
        <v>0.30833333333333335</v>
      </c>
      <c r="J134" s="112">
        <f t="shared" si="84"/>
        <v>0</v>
      </c>
      <c r="K134" s="24">
        <f>((C134-B134)+(E134-D134))</f>
        <v>0</v>
      </c>
      <c r="L134" s="157">
        <f t="shared" ref="L134:M134" si="99">SUM(F134:F140)</f>
        <v>1.5416666666666667</v>
      </c>
      <c r="M134" s="160">
        <f t="shared" si="99"/>
        <v>8.3333333333333329E-2</v>
      </c>
      <c r="N134" s="173">
        <f t="shared" ref="N134" si="100">L134+M134</f>
        <v>1.625</v>
      </c>
      <c r="O134" s="157">
        <f t="shared" ref="O134:P134" si="101">SUM(I134:I140)</f>
        <v>1.5416666666666667</v>
      </c>
      <c r="P134" s="160">
        <f t="shared" si="101"/>
        <v>0</v>
      </c>
      <c r="Q134" s="173">
        <f t="shared" ref="Q134" si="102">O134+P134</f>
        <v>1.5416666666666667</v>
      </c>
      <c r="R134" s="159"/>
      <c r="S134" s="162"/>
      <c r="T134" s="177"/>
      <c r="U134" s="159"/>
      <c r="V134" s="162"/>
      <c r="W134" s="165"/>
      <c r="X134" s="75">
        <f>(SUM(G134)*24)*($AC$14+$AC$14*$AD$14)</f>
        <v>13.24145</v>
      </c>
      <c r="Y134" s="75">
        <f>(SUM(J134)*24)*($AC$14+$AC$14*$AD$14)</f>
        <v>0</v>
      </c>
      <c r="Z134" s="183"/>
      <c r="AA134" s="197"/>
      <c r="AB134" s="31"/>
    </row>
    <row r="135" spans="1:28" x14ac:dyDescent="0.25">
      <c r="A135" s="16">
        <v>44804</v>
      </c>
      <c r="B135" s="12"/>
      <c r="C135" s="11"/>
      <c r="D135" s="12"/>
      <c r="E135" s="11"/>
      <c r="F135" s="35">
        <f>IF(COUNTIF(B135:E135,0)=4,0,IF(COUNTIF(B135:E135,0)=2,$AD$3,$AC$3))</f>
        <v>0.30833333333333335</v>
      </c>
      <c r="G135" s="36">
        <f>IF(COUNTIF(B135:E135,0)=4,0,IF(COUNTIF(B135:E135,0)=2,$AD$7,$AC$7))</f>
        <v>1.6666666666666666E-2</v>
      </c>
      <c r="H135" s="61">
        <f t="shared" si="97"/>
        <v>0.32500000000000001</v>
      </c>
      <c r="I135" s="35">
        <f t="shared" si="98"/>
        <v>0.30833333333333335</v>
      </c>
      <c r="J135" s="112">
        <f t="shared" si="84"/>
        <v>0</v>
      </c>
      <c r="K135" s="25">
        <f>((C135-B135)+(E135-D135))</f>
        <v>0</v>
      </c>
      <c r="L135" s="169"/>
      <c r="M135" s="171"/>
      <c r="N135" s="174"/>
      <c r="O135" s="169"/>
      <c r="P135" s="171"/>
      <c r="Q135" s="174"/>
      <c r="R135" s="157">
        <f>SUM(F135:F164)</f>
        <v>6.7833333333333368</v>
      </c>
      <c r="S135" s="160">
        <f>SUM(G135:G164)</f>
        <v>0.36666666666666664</v>
      </c>
      <c r="T135" s="173">
        <f>R135+S135</f>
        <v>7.150000000000003</v>
      </c>
      <c r="U135" s="157">
        <f>SUM(I135:I164)</f>
        <v>6.7833333333333368</v>
      </c>
      <c r="V135" s="160">
        <f>SUM(J135:J164)</f>
        <v>0</v>
      </c>
      <c r="W135" s="173">
        <f>U135+V135</f>
        <v>6.7833333333333368</v>
      </c>
      <c r="X135" s="141">
        <f>(SUM(G135:G140)*24)*($AC$14+$AC$14*$AD$14)</f>
        <v>52.965800000000002</v>
      </c>
      <c r="Y135" s="141">
        <f>(SUM(J135:J140)*24)*($AC$14+$AC$14*$AD$14)</f>
        <v>0</v>
      </c>
      <c r="Z135" s="183"/>
      <c r="AA135" s="197"/>
      <c r="AB135" s="241"/>
    </row>
    <row r="136" spans="1:28" x14ac:dyDescent="0.25">
      <c r="A136" s="16">
        <v>44805</v>
      </c>
      <c r="B136" s="12"/>
      <c r="C136" s="11"/>
      <c r="D136" s="12"/>
      <c r="E136" s="11"/>
      <c r="F136" s="35">
        <f>IF(COUNTIF(B136:E136,0)=4,0,IF(COUNTIF(B136:E136,0)=2,$AD$3,$AC$3))</f>
        <v>0.30833333333333335</v>
      </c>
      <c r="G136" s="36">
        <f>IF(COUNTIF(B136:E136,0)=4,0,IF(COUNTIF(B136:E136,0)=2,$AD$7,$AC$7))</f>
        <v>1.6666666666666666E-2</v>
      </c>
      <c r="H136" s="61">
        <f t="shared" si="97"/>
        <v>0.32500000000000001</v>
      </c>
      <c r="I136" s="35">
        <f t="shared" si="98"/>
        <v>0.30833333333333335</v>
      </c>
      <c r="J136" s="112">
        <f t="shared" si="84"/>
        <v>0</v>
      </c>
      <c r="K136" s="25">
        <f>((C136-B136)+(E136-D136))</f>
        <v>0</v>
      </c>
      <c r="L136" s="169"/>
      <c r="M136" s="171"/>
      <c r="N136" s="174"/>
      <c r="O136" s="169"/>
      <c r="P136" s="171"/>
      <c r="Q136" s="174"/>
      <c r="R136" s="158"/>
      <c r="S136" s="161"/>
      <c r="T136" s="176"/>
      <c r="U136" s="158"/>
      <c r="V136" s="171"/>
      <c r="W136" s="174"/>
      <c r="X136" s="141"/>
      <c r="Y136" s="141"/>
      <c r="Z136" s="183"/>
      <c r="AA136" s="197"/>
      <c r="AB136" s="241"/>
    </row>
    <row r="137" spans="1:28" x14ac:dyDescent="0.25">
      <c r="A137" s="16">
        <v>44806</v>
      </c>
      <c r="B137" s="12"/>
      <c r="C137" s="11"/>
      <c r="D137" s="12"/>
      <c r="E137" s="11"/>
      <c r="F137" s="35">
        <f>IF(COUNTIF(B137:E137,0)=4,0,IF(COUNTIF(B137:E137,0)=2,$AD$3,$AC$3))</f>
        <v>0.30833333333333335</v>
      </c>
      <c r="G137" s="36">
        <f>IF(COUNTIF(B137:E137,0)=4,0,IF(COUNTIF(B137:E137,0)=2,$AD$7,$AC$7))</f>
        <v>1.6666666666666666E-2</v>
      </c>
      <c r="H137" s="61">
        <f t="shared" si="97"/>
        <v>0.32500000000000001</v>
      </c>
      <c r="I137" s="35">
        <f t="shared" si="98"/>
        <v>0.30833333333333335</v>
      </c>
      <c r="J137" s="112">
        <f t="shared" si="84"/>
        <v>0</v>
      </c>
      <c r="K137" s="25">
        <f>((C137-B137)+(E137-D137))</f>
        <v>0</v>
      </c>
      <c r="L137" s="169"/>
      <c r="M137" s="171"/>
      <c r="N137" s="174"/>
      <c r="O137" s="169"/>
      <c r="P137" s="171"/>
      <c r="Q137" s="174"/>
      <c r="R137" s="158"/>
      <c r="S137" s="161"/>
      <c r="T137" s="176"/>
      <c r="U137" s="158"/>
      <c r="V137" s="171"/>
      <c r="W137" s="174"/>
      <c r="X137" s="141"/>
      <c r="Y137" s="141"/>
      <c r="Z137" s="183"/>
      <c r="AA137" s="197"/>
      <c r="AB137" s="241"/>
    </row>
    <row r="138" spans="1:28" x14ac:dyDescent="0.25">
      <c r="A138" s="16">
        <v>44807</v>
      </c>
      <c r="B138" s="12"/>
      <c r="C138" s="11"/>
      <c r="D138" s="12"/>
      <c r="E138" s="11"/>
      <c r="F138" s="47">
        <f>IF(COUNTIF(B138:E138,0)=4,0,IF(COUNTIF(B138:E138,0)=2,$AD$3,$AC$3))</f>
        <v>0.30833333333333335</v>
      </c>
      <c r="G138" s="48">
        <f>IF(COUNTIF(B138:E138,0)=4,0,IF(COUNTIF(B138:E138,0)=2,$AD$7,$AC$7))</f>
        <v>1.6666666666666666E-2</v>
      </c>
      <c r="H138" s="62">
        <f t="shared" si="97"/>
        <v>0.32500000000000001</v>
      </c>
      <c r="I138" s="47">
        <f t="shared" si="98"/>
        <v>0.30833333333333335</v>
      </c>
      <c r="J138" s="112">
        <f t="shared" si="84"/>
        <v>0</v>
      </c>
      <c r="K138" s="49">
        <f>((C138-B138)+(E138-D138))</f>
        <v>0</v>
      </c>
      <c r="L138" s="169"/>
      <c r="M138" s="171"/>
      <c r="N138" s="174"/>
      <c r="O138" s="169"/>
      <c r="P138" s="171"/>
      <c r="Q138" s="174"/>
      <c r="R138" s="158"/>
      <c r="S138" s="161"/>
      <c r="T138" s="176"/>
      <c r="U138" s="158"/>
      <c r="V138" s="171"/>
      <c r="W138" s="174"/>
      <c r="X138" s="141"/>
      <c r="Y138" s="141"/>
      <c r="Z138" s="183"/>
      <c r="AA138" s="197"/>
      <c r="AB138" s="241"/>
    </row>
    <row r="139" spans="1:28" x14ac:dyDescent="0.25">
      <c r="A139" s="18">
        <v>44808</v>
      </c>
      <c r="B139" s="3"/>
      <c r="C139" s="1"/>
      <c r="D139" s="3"/>
      <c r="E139" s="1"/>
      <c r="F139" s="39"/>
      <c r="G139" s="40"/>
      <c r="H139" s="57"/>
      <c r="I139" s="39"/>
      <c r="J139" s="114"/>
      <c r="K139" s="41"/>
      <c r="L139" s="169"/>
      <c r="M139" s="171"/>
      <c r="N139" s="174"/>
      <c r="O139" s="169"/>
      <c r="P139" s="171"/>
      <c r="Q139" s="174"/>
      <c r="R139" s="158"/>
      <c r="S139" s="161"/>
      <c r="T139" s="176"/>
      <c r="U139" s="158"/>
      <c r="V139" s="171"/>
      <c r="W139" s="174"/>
      <c r="X139" s="141"/>
      <c r="Y139" s="141"/>
      <c r="Z139" s="183"/>
      <c r="AA139" s="197"/>
      <c r="AB139" s="241"/>
    </row>
    <row r="140" spans="1:28" x14ac:dyDescent="0.25">
      <c r="A140" s="19">
        <v>44809</v>
      </c>
      <c r="B140" s="4"/>
      <c r="C140" s="2"/>
      <c r="D140" s="4"/>
      <c r="E140" s="2"/>
      <c r="F140" s="42"/>
      <c r="G140" s="43"/>
      <c r="H140" s="58"/>
      <c r="I140" s="42"/>
      <c r="J140" s="115"/>
      <c r="K140" s="44"/>
      <c r="L140" s="170"/>
      <c r="M140" s="172"/>
      <c r="N140" s="175"/>
      <c r="O140" s="170"/>
      <c r="P140" s="172"/>
      <c r="Q140" s="175"/>
      <c r="R140" s="158"/>
      <c r="S140" s="161"/>
      <c r="T140" s="176"/>
      <c r="U140" s="158"/>
      <c r="V140" s="171"/>
      <c r="W140" s="174"/>
      <c r="X140" s="141"/>
      <c r="Y140" s="141"/>
      <c r="Z140" s="183"/>
      <c r="AA140" s="197"/>
      <c r="AB140" s="241"/>
    </row>
    <row r="141" spans="1:28" x14ac:dyDescent="0.25">
      <c r="A141" s="15">
        <v>44810</v>
      </c>
      <c r="B141" s="9"/>
      <c r="C141" s="8"/>
      <c r="D141" s="9"/>
      <c r="E141" s="8"/>
      <c r="F141" s="33">
        <f>IF(COUNTIF(B141:E141,0)=4,0,IF(COUNTIF(B141:E141,0)=2,$AD$3,$AC$3))</f>
        <v>0.30833333333333335</v>
      </c>
      <c r="G141" s="34">
        <f>IF(COUNTIF(B141:E141,0)=4,0,IF(COUNTIF(B141:E141,0)=2,$AD$7,$AC$7))</f>
        <v>1.6666666666666666E-2</v>
      </c>
      <c r="H141" s="60">
        <f t="shared" si="97"/>
        <v>0.32500000000000001</v>
      </c>
      <c r="I141" s="33">
        <f t="shared" si="98"/>
        <v>0.30833333333333335</v>
      </c>
      <c r="J141" s="112">
        <f t="shared" si="84"/>
        <v>0</v>
      </c>
      <c r="K141" s="24">
        <f>((C141-B141)+(E141-D141))</f>
        <v>0</v>
      </c>
      <c r="L141" s="157">
        <f t="shared" ref="L141:M141" si="103">SUM(F141:F147)</f>
        <v>1.5416666666666667</v>
      </c>
      <c r="M141" s="160">
        <f t="shared" si="103"/>
        <v>8.3333333333333329E-2</v>
      </c>
      <c r="N141" s="173">
        <f t="shared" ref="N141" si="104">L141+M141</f>
        <v>1.625</v>
      </c>
      <c r="O141" s="157">
        <f t="shared" ref="O141:P141" si="105">SUM(I141:I147)</f>
        <v>1.5416666666666667</v>
      </c>
      <c r="P141" s="160">
        <f t="shared" si="105"/>
        <v>0</v>
      </c>
      <c r="Q141" s="173">
        <f t="shared" ref="Q141" si="106">O141+P141</f>
        <v>1.5416666666666667</v>
      </c>
      <c r="R141" s="158"/>
      <c r="S141" s="161"/>
      <c r="T141" s="176"/>
      <c r="U141" s="158"/>
      <c r="V141" s="171"/>
      <c r="W141" s="174"/>
      <c r="X141" s="141">
        <f>(SUM(G141:G147)*24)*($AC$14+$AC$14*$AD$14)</f>
        <v>66.207250000000002</v>
      </c>
      <c r="Y141" s="141">
        <f>(SUM(J141:J147)*24)*($AC$14+$AC$14*$AD$14)</f>
        <v>0</v>
      </c>
      <c r="Z141" s="183"/>
      <c r="AA141" s="197"/>
    </row>
    <row r="142" spans="1:28" x14ac:dyDescent="0.25">
      <c r="A142" s="16">
        <v>44811</v>
      </c>
      <c r="B142" s="12"/>
      <c r="C142" s="11"/>
      <c r="D142" s="12"/>
      <c r="E142" s="11"/>
      <c r="F142" s="35">
        <f>IF(COUNTIF(B142:E142,0)=4,0,IF(COUNTIF(B142:E142,0)=2,$AD$3,$AC$3))</f>
        <v>0.30833333333333335</v>
      </c>
      <c r="G142" s="36">
        <f>IF(COUNTIF(B142:E142,0)=4,0,IF(COUNTIF(B142:E142,0)=2,$AD$7,$AC$7))</f>
        <v>1.6666666666666666E-2</v>
      </c>
      <c r="H142" s="61">
        <f t="shared" si="97"/>
        <v>0.32500000000000001</v>
      </c>
      <c r="I142" s="35">
        <f t="shared" si="98"/>
        <v>0.30833333333333335</v>
      </c>
      <c r="J142" s="112">
        <f t="shared" si="84"/>
        <v>0</v>
      </c>
      <c r="K142" s="25">
        <f>((C142-B142)+(E142-D142))</f>
        <v>0</v>
      </c>
      <c r="L142" s="169"/>
      <c r="M142" s="171"/>
      <c r="N142" s="174"/>
      <c r="O142" s="169"/>
      <c r="P142" s="171"/>
      <c r="Q142" s="174"/>
      <c r="R142" s="158"/>
      <c r="S142" s="161"/>
      <c r="T142" s="176"/>
      <c r="U142" s="158"/>
      <c r="V142" s="171"/>
      <c r="W142" s="174"/>
      <c r="X142" s="141"/>
      <c r="Y142" s="141"/>
      <c r="Z142" s="183"/>
      <c r="AA142" s="197"/>
    </row>
    <row r="143" spans="1:28" x14ac:dyDescent="0.25">
      <c r="A143" s="16">
        <v>44812</v>
      </c>
      <c r="B143" s="12"/>
      <c r="C143" s="11"/>
      <c r="D143" s="12"/>
      <c r="E143" s="11"/>
      <c r="F143" s="35">
        <f>IF(COUNTIF(B143:E143,0)=4,0,IF(COUNTIF(B143:E143,0)=2,$AD$3,$AC$3))</f>
        <v>0.30833333333333335</v>
      </c>
      <c r="G143" s="36">
        <f>IF(COUNTIF(B143:E143,0)=4,0,IF(COUNTIF(B143:E143,0)=2,$AD$7,$AC$7))</f>
        <v>1.6666666666666666E-2</v>
      </c>
      <c r="H143" s="61">
        <f t="shared" si="97"/>
        <v>0.32500000000000001</v>
      </c>
      <c r="I143" s="35">
        <f t="shared" si="98"/>
        <v>0.30833333333333335</v>
      </c>
      <c r="J143" s="112">
        <f t="shared" si="84"/>
        <v>0</v>
      </c>
      <c r="K143" s="25">
        <f>((C143-B143)+(E143-D143))</f>
        <v>0</v>
      </c>
      <c r="L143" s="169"/>
      <c r="M143" s="171"/>
      <c r="N143" s="174"/>
      <c r="O143" s="169"/>
      <c r="P143" s="171"/>
      <c r="Q143" s="174"/>
      <c r="R143" s="158"/>
      <c r="S143" s="161"/>
      <c r="T143" s="176"/>
      <c r="U143" s="158"/>
      <c r="V143" s="171"/>
      <c r="W143" s="174"/>
      <c r="X143" s="141"/>
      <c r="Y143" s="141"/>
      <c r="Z143" s="183"/>
      <c r="AA143" s="197"/>
    </row>
    <row r="144" spans="1:28" x14ac:dyDescent="0.25">
      <c r="A144" s="16">
        <v>44813</v>
      </c>
      <c r="B144" s="12"/>
      <c r="C144" s="11"/>
      <c r="D144" s="12"/>
      <c r="E144" s="11"/>
      <c r="F144" s="35">
        <f>IF(COUNTIF(B144:E144,0)=4,0,IF(COUNTIF(B144:E144,0)=2,$AD$3,$AC$3))</f>
        <v>0.30833333333333335</v>
      </c>
      <c r="G144" s="36">
        <f>IF(COUNTIF(B144:E144,0)=4,0,IF(COUNTIF(B144:E144,0)=2,$AD$7,$AC$7))</f>
        <v>1.6666666666666666E-2</v>
      </c>
      <c r="H144" s="61">
        <f t="shared" si="97"/>
        <v>0.32500000000000001</v>
      </c>
      <c r="I144" s="35">
        <f t="shared" si="98"/>
        <v>0.30833333333333335</v>
      </c>
      <c r="J144" s="112">
        <f t="shared" si="84"/>
        <v>0</v>
      </c>
      <c r="K144" s="25">
        <f>((C144-B144)+(E144-D144))</f>
        <v>0</v>
      </c>
      <c r="L144" s="169"/>
      <c r="M144" s="171"/>
      <c r="N144" s="174"/>
      <c r="O144" s="169"/>
      <c r="P144" s="171"/>
      <c r="Q144" s="174"/>
      <c r="R144" s="158"/>
      <c r="S144" s="161"/>
      <c r="T144" s="176"/>
      <c r="U144" s="158"/>
      <c r="V144" s="171"/>
      <c r="W144" s="174"/>
      <c r="X144" s="141"/>
      <c r="Y144" s="141"/>
      <c r="Z144" s="183"/>
      <c r="AA144" s="197"/>
    </row>
    <row r="145" spans="1:27" x14ac:dyDescent="0.25">
      <c r="A145" s="16">
        <v>44814</v>
      </c>
      <c r="B145" s="12"/>
      <c r="C145" s="11"/>
      <c r="D145" s="12"/>
      <c r="E145" s="11"/>
      <c r="F145" s="47">
        <f>IF(COUNTIF(B145:E145,0)=4,0,IF(COUNTIF(B145:E145,0)=2,$AD$3,$AC$3))</f>
        <v>0.30833333333333335</v>
      </c>
      <c r="G145" s="48">
        <f>IF(COUNTIF(B145:E145,0)=4,0,IF(COUNTIF(B145:E145,0)=2,$AD$7,$AC$7))</f>
        <v>1.6666666666666666E-2</v>
      </c>
      <c r="H145" s="62">
        <f t="shared" si="97"/>
        <v>0.32500000000000001</v>
      </c>
      <c r="I145" s="47">
        <f t="shared" si="98"/>
        <v>0.30833333333333335</v>
      </c>
      <c r="J145" s="112">
        <f t="shared" si="84"/>
        <v>0</v>
      </c>
      <c r="K145" s="49">
        <f>((C145-B145)+(E145-D145))</f>
        <v>0</v>
      </c>
      <c r="L145" s="169"/>
      <c r="M145" s="171"/>
      <c r="N145" s="174"/>
      <c r="O145" s="169"/>
      <c r="P145" s="171"/>
      <c r="Q145" s="174"/>
      <c r="R145" s="158"/>
      <c r="S145" s="161"/>
      <c r="T145" s="176"/>
      <c r="U145" s="158"/>
      <c r="V145" s="171"/>
      <c r="W145" s="174"/>
      <c r="X145" s="141"/>
      <c r="Y145" s="141"/>
      <c r="Z145" s="183"/>
      <c r="AA145" s="197"/>
    </row>
    <row r="146" spans="1:27" x14ac:dyDescent="0.25">
      <c r="A146" s="18">
        <v>44815</v>
      </c>
      <c r="B146" s="3"/>
      <c r="C146" s="1"/>
      <c r="D146" s="3"/>
      <c r="E146" s="1"/>
      <c r="F146" s="39"/>
      <c r="G146" s="40"/>
      <c r="H146" s="57"/>
      <c r="I146" s="39"/>
      <c r="J146" s="114"/>
      <c r="K146" s="41"/>
      <c r="L146" s="169"/>
      <c r="M146" s="171"/>
      <c r="N146" s="174"/>
      <c r="O146" s="169"/>
      <c r="P146" s="171"/>
      <c r="Q146" s="174"/>
      <c r="R146" s="158"/>
      <c r="S146" s="161"/>
      <c r="T146" s="176"/>
      <c r="U146" s="158"/>
      <c r="V146" s="171"/>
      <c r="W146" s="174"/>
      <c r="X146" s="141"/>
      <c r="Y146" s="141"/>
      <c r="Z146" s="183"/>
      <c r="AA146" s="197"/>
    </row>
    <row r="147" spans="1:27" x14ac:dyDescent="0.25">
      <c r="A147" s="19">
        <v>44816</v>
      </c>
      <c r="B147" s="4"/>
      <c r="C147" s="2"/>
      <c r="D147" s="4"/>
      <c r="E147" s="2"/>
      <c r="F147" s="42"/>
      <c r="G147" s="43"/>
      <c r="H147" s="58"/>
      <c r="I147" s="42"/>
      <c r="J147" s="115"/>
      <c r="K147" s="44"/>
      <c r="L147" s="170"/>
      <c r="M147" s="172"/>
      <c r="N147" s="175"/>
      <c r="O147" s="170"/>
      <c r="P147" s="172"/>
      <c r="Q147" s="175"/>
      <c r="R147" s="158"/>
      <c r="S147" s="161"/>
      <c r="T147" s="176"/>
      <c r="U147" s="158"/>
      <c r="V147" s="171"/>
      <c r="W147" s="174"/>
      <c r="X147" s="141"/>
      <c r="Y147" s="141"/>
      <c r="Z147" s="183"/>
      <c r="AA147" s="197"/>
    </row>
    <row r="148" spans="1:27" x14ac:dyDescent="0.25">
      <c r="A148" s="15">
        <v>44817</v>
      </c>
      <c r="B148" s="9"/>
      <c r="C148" s="8"/>
      <c r="D148" s="9"/>
      <c r="E148" s="8"/>
      <c r="F148" s="33">
        <f>IF(COUNTIF(B148:E148,0)=4,0,IF(COUNTIF(B148:E148,0)=2,$AD$3,$AC$3))</f>
        <v>0.30833333333333335</v>
      </c>
      <c r="G148" s="34">
        <f>IF(COUNTIF(B148:E148,0)=4,0,IF(COUNTIF(B148:E148,0)=2,$AD$7,$AC$7))</f>
        <v>1.6666666666666666E-2</v>
      </c>
      <c r="H148" s="60">
        <f t="shared" si="97"/>
        <v>0.32500000000000001</v>
      </c>
      <c r="I148" s="33">
        <f t="shared" si="98"/>
        <v>0.30833333333333335</v>
      </c>
      <c r="J148" s="112">
        <f t="shared" si="84"/>
        <v>0</v>
      </c>
      <c r="K148" s="24">
        <f>((C148-B148)+(E148-D148))</f>
        <v>0</v>
      </c>
      <c r="L148" s="157">
        <f t="shared" ref="L148:M148" si="107">SUM(F148:F154)</f>
        <v>1.5416666666666667</v>
      </c>
      <c r="M148" s="160">
        <f t="shared" si="107"/>
        <v>8.3333333333333329E-2</v>
      </c>
      <c r="N148" s="173">
        <f t="shared" ref="N148" si="108">L148+M148</f>
        <v>1.625</v>
      </c>
      <c r="O148" s="157">
        <f t="shared" ref="O148:P148" si="109">SUM(I148:I154)</f>
        <v>1.5416666666666667</v>
      </c>
      <c r="P148" s="160">
        <f t="shared" si="109"/>
        <v>0</v>
      </c>
      <c r="Q148" s="173">
        <f t="shared" ref="Q148" si="110">O148+P148</f>
        <v>1.5416666666666667</v>
      </c>
      <c r="R148" s="158"/>
      <c r="S148" s="161"/>
      <c r="T148" s="176"/>
      <c r="U148" s="158"/>
      <c r="V148" s="171"/>
      <c r="W148" s="174"/>
      <c r="X148" s="141">
        <f t="shared" ref="X148" si="111">(SUM(G148:G154)*24)*($AC$14+$AC$14*$AD$14)</f>
        <v>66.207250000000002</v>
      </c>
      <c r="Y148" s="141">
        <f t="shared" ref="Y148" si="112">(SUM(J148:J154)*24)*($AC$14+$AC$14*$AD$14)</f>
        <v>0</v>
      </c>
      <c r="Z148" s="183"/>
      <c r="AA148" s="197"/>
    </row>
    <row r="149" spans="1:27" x14ac:dyDescent="0.25">
      <c r="A149" s="16">
        <v>44818</v>
      </c>
      <c r="B149" s="12"/>
      <c r="C149" s="11"/>
      <c r="D149" s="12"/>
      <c r="E149" s="11"/>
      <c r="F149" s="35">
        <f>IF(COUNTIF(B149:E149,0)=4,0,IF(COUNTIF(B149:E149,0)=2,$AD$3,$AC$3))</f>
        <v>0.30833333333333335</v>
      </c>
      <c r="G149" s="36">
        <f>IF(COUNTIF(B149:E149,0)=4,0,IF(COUNTIF(B149:E149,0)=2,$AD$7,$AC$7))</f>
        <v>1.6666666666666666E-2</v>
      </c>
      <c r="H149" s="61">
        <f t="shared" si="97"/>
        <v>0.32500000000000001</v>
      </c>
      <c r="I149" s="35">
        <f t="shared" si="98"/>
        <v>0.30833333333333335</v>
      </c>
      <c r="J149" s="112">
        <f t="shared" si="84"/>
        <v>0</v>
      </c>
      <c r="K149" s="25">
        <f>((C149-B149)+(E149-D149))</f>
        <v>0</v>
      </c>
      <c r="L149" s="169"/>
      <c r="M149" s="171"/>
      <c r="N149" s="174"/>
      <c r="O149" s="169"/>
      <c r="P149" s="171"/>
      <c r="Q149" s="174"/>
      <c r="R149" s="158"/>
      <c r="S149" s="161"/>
      <c r="T149" s="176"/>
      <c r="U149" s="158"/>
      <c r="V149" s="171"/>
      <c r="W149" s="174"/>
      <c r="X149" s="141"/>
      <c r="Y149" s="141"/>
      <c r="Z149" s="183"/>
      <c r="AA149" s="197"/>
    </row>
    <row r="150" spans="1:27" x14ac:dyDescent="0.25">
      <c r="A150" s="16">
        <v>44819</v>
      </c>
      <c r="B150" s="12"/>
      <c r="C150" s="11"/>
      <c r="D150" s="12"/>
      <c r="E150" s="11"/>
      <c r="F150" s="35">
        <f>IF(COUNTIF(B150:E150,0)=4,0,IF(COUNTIF(B150:E150,0)=2,$AD$3,$AC$3))</f>
        <v>0.30833333333333335</v>
      </c>
      <c r="G150" s="36">
        <f>IF(COUNTIF(B150:E150,0)=4,0,IF(COUNTIF(B150:E150,0)=2,$AD$7,$AC$7))</f>
        <v>1.6666666666666666E-2</v>
      </c>
      <c r="H150" s="61">
        <f t="shared" si="97"/>
        <v>0.32500000000000001</v>
      </c>
      <c r="I150" s="35">
        <f t="shared" si="98"/>
        <v>0.30833333333333335</v>
      </c>
      <c r="J150" s="112">
        <f t="shared" si="84"/>
        <v>0</v>
      </c>
      <c r="K150" s="25">
        <f>((C150-B150)+(E150-D150))</f>
        <v>0</v>
      </c>
      <c r="L150" s="169"/>
      <c r="M150" s="171"/>
      <c r="N150" s="174"/>
      <c r="O150" s="169"/>
      <c r="P150" s="171"/>
      <c r="Q150" s="174"/>
      <c r="R150" s="158"/>
      <c r="S150" s="161"/>
      <c r="T150" s="176"/>
      <c r="U150" s="158"/>
      <c r="V150" s="171"/>
      <c r="W150" s="174"/>
      <c r="X150" s="141"/>
      <c r="Y150" s="141"/>
      <c r="Z150" s="183"/>
      <c r="AA150" s="197"/>
    </row>
    <row r="151" spans="1:27" x14ac:dyDescent="0.25">
      <c r="A151" s="16">
        <v>44820</v>
      </c>
      <c r="B151" s="12"/>
      <c r="C151" s="11"/>
      <c r="D151" s="12"/>
      <c r="E151" s="11"/>
      <c r="F151" s="35">
        <f>IF(COUNTIF(B151:E151,0)=4,0,IF(COUNTIF(B151:E151,0)=2,$AD$3,$AC$3))</f>
        <v>0.30833333333333335</v>
      </c>
      <c r="G151" s="36">
        <f>IF(COUNTIF(B151:E151,0)=4,0,IF(COUNTIF(B151:E151,0)=2,$AD$7,$AC$7))</f>
        <v>1.6666666666666666E-2</v>
      </c>
      <c r="H151" s="61">
        <f t="shared" si="97"/>
        <v>0.32500000000000001</v>
      </c>
      <c r="I151" s="35">
        <f t="shared" si="98"/>
        <v>0.30833333333333335</v>
      </c>
      <c r="J151" s="112">
        <f t="shared" si="84"/>
        <v>0</v>
      </c>
      <c r="K151" s="25">
        <f>((C151-B151)+(E151-D151))</f>
        <v>0</v>
      </c>
      <c r="L151" s="169"/>
      <c r="M151" s="171"/>
      <c r="N151" s="174"/>
      <c r="O151" s="169"/>
      <c r="P151" s="171"/>
      <c r="Q151" s="174"/>
      <c r="R151" s="158"/>
      <c r="S151" s="161"/>
      <c r="T151" s="176"/>
      <c r="U151" s="158"/>
      <c r="V151" s="171"/>
      <c r="W151" s="174"/>
      <c r="X151" s="141"/>
      <c r="Y151" s="141"/>
      <c r="Z151" s="183"/>
      <c r="AA151" s="197"/>
    </row>
    <row r="152" spans="1:27" x14ac:dyDescent="0.25">
      <c r="A152" s="16">
        <v>44821</v>
      </c>
      <c r="B152" s="12"/>
      <c r="C152" s="11"/>
      <c r="D152" s="12"/>
      <c r="E152" s="11"/>
      <c r="F152" s="47">
        <f>IF(COUNTIF(B152:E152,0)=4,0,IF(COUNTIF(B152:E152,0)=2,$AD$3,$AC$3))</f>
        <v>0.30833333333333335</v>
      </c>
      <c r="G152" s="48">
        <f>IF(COUNTIF(B152:E152,0)=4,0,IF(COUNTIF(B152:E152,0)=2,$AD$7,$AC$7))</f>
        <v>1.6666666666666666E-2</v>
      </c>
      <c r="H152" s="62">
        <f t="shared" si="97"/>
        <v>0.32500000000000001</v>
      </c>
      <c r="I152" s="47">
        <f t="shared" si="98"/>
        <v>0.30833333333333335</v>
      </c>
      <c r="J152" s="112">
        <f t="shared" si="84"/>
        <v>0</v>
      </c>
      <c r="K152" s="49">
        <f>((C152-B152)+(E152-D152))</f>
        <v>0</v>
      </c>
      <c r="L152" s="169"/>
      <c r="M152" s="171"/>
      <c r="N152" s="174"/>
      <c r="O152" s="169"/>
      <c r="P152" s="171"/>
      <c r="Q152" s="174"/>
      <c r="R152" s="158"/>
      <c r="S152" s="161"/>
      <c r="T152" s="176"/>
      <c r="U152" s="158"/>
      <c r="V152" s="171"/>
      <c r="W152" s="174"/>
      <c r="X152" s="141"/>
      <c r="Y152" s="141"/>
      <c r="Z152" s="183"/>
      <c r="AA152" s="197"/>
    </row>
    <row r="153" spans="1:27" x14ac:dyDescent="0.25">
      <c r="A153" s="18">
        <v>44822</v>
      </c>
      <c r="B153" s="3"/>
      <c r="C153" s="1"/>
      <c r="D153" s="3"/>
      <c r="E153" s="1"/>
      <c r="F153" s="39"/>
      <c r="G153" s="40"/>
      <c r="H153" s="57"/>
      <c r="I153" s="39"/>
      <c r="J153" s="114"/>
      <c r="K153" s="41"/>
      <c r="L153" s="169"/>
      <c r="M153" s="171"/>
      <c r="N153" s="174"/>
      <c r="O153" s="169"/>
      <c r="P153" s="171"/>
      <c r="Q153" s="174"/>
      <c r="R153" s="158"/>
      <c r="S153" s="161"/>
      <c r="T153" s="176"/>
      <c r="U153" s="158"/>
      <c r="V153" s="171"/>
      <c r="W153" s="174"/>
      <c r="X153" s="141"/>
      <c r="Y153" s="141"/>
      <c r="Z153" s="183"/>
      <c r="AA153" s="197"/>
    </row>
    <row r="154" spans="1:27" x14ac:dyDescent="0.25">
      <c r="A154" s="19">
        <v>44823</v>
      </c>
      <c r="B154" s="4"/>
      <c r="C154" s="2"/>
      <c r="D154" s="4"/>
      <c r="E154" s="2"/>
      <c r="F154" s="42"/>
      <c r="G154" s="43"/>
      <c r="H154" s="58"/>
      <c r="I154" s="42"/>
      <c r="J154" s="115"/>
      <c r="K154" s="44"/>
      <c r="L154" s="170"/>
      <c r="M154" s="172"/>
      <c r="N154" s="175"/>
      <c r="O154" s="170"/>
      <c r="P154" s="172"/>
      <c r="Q154" s="175"/>
      <c r="R154" s="158"/>
      <c r="S154" s="161"/>
      <c r="T154" s="176"/>
      <c r="U154" s="158"/>
      <c r="V154" s="171"/>
      <c r="W154" s="174"/>
      <c r="X154" s="141"/>
      <c r="Y154" s="141"/>
      <c r="Z154" s="183"/>
      <c r="AA154" s="197"/>
    </row>
    <row r="155" spans="1:27" x14ac:dyDescent="0.25">
      <c r="A155" s="15">
        <v>44824</v>
      </c>
      <c r="B155" s="9"/>
      <c r="C155" s="8"/>
      <c r="D155" s="9"/>
      <c r="E155" s="8"/>
      <c r="F155" s="33">
        <f>IF(COUNTIF(B155:E155,0)=4,0,IF(COUNTIF(B155:E155,0)=2,$AD$3,$AC$3))</f>
        <v>0.30833333333333335</v>
      </c>
      <c r="G155" s="34">
        <f>IF(COUNTIF(B155:E155,0)=4,0,IF(COUNTIF(B155:E155,0)=2,$AD$7,$AC$7))</f>
        <v>1.6666666666666666E-2</v>
      </c>
      <c r="H155" s="60">
        <f t="shared" si="97"/>
        <v>0.32500000000000001</v>
      </c>
      <c r="I155" s="33">
        <f t="shared" si="98"/>
        <v>0.30833333333333335</v>
      </c>
      <c r="J155" s="112">
        <f t="shared" si="84"/>
        <v>0</v>
      </c>
      <c r="K155" s="24">
        <f>((C155-B155)+(E155-D155))</f>
        <v>0</v>
      </c>
      <c r="L155" s="157">
        <f t="shared" ref="L155:M155" si="113">SUM(F155:F161)</f>
        <v>1.5416666666666667</v>
      </c>
      <c r="M155" s="160">
        <f t="shared" si="113"/>
        <v>8.3333333333333329E-2</v>
      </c>
      <c r="N155" s="173">
        <f t="shared" ref="N155" si="114">L155+M155</f>
        <v>1.625</v>
      </c>
      <c r="O155" s="157">
        <f t="shared" ref="O155:P155" si="115">SUM(I155:I161)</f>
        <v>1.5416666666666667</v>
      </c>
      <c r="P155" s="160">
        <f t="shared" si="115"/>
        <v>0</v>
      </c>
      <c r="Q155" s="173">
        <f t="shared" ref="Q155" si="116">O155+P155</f>
        <v>1.5416666666666667</v>
      </c>
      <c r="R155" s="158"/>
      <c r="S155" s="161"/>
      <c r="T155" s="176"/>
      <c r="U155" s="158"/>
      <c r="V155" s="171"/>
      <c r="W155" s="174"/>
      <c r="X155" s="141">
        <f t="shared" ref="X155" si="117">(SUM(G155:G161)*24)*($AC$14+$AC$14*$AD$14)</f>
        <v>66.207250000000002</v>
      </c>
      <c r="Y155" s="141">
        <f t="shared" ref="Y155" si="118">(SUM(J155:J161)*24)*($AC$14+$AC$14*$AD$14)</f>
        <v>0</v>
      </c>
      <c r="Z155" s="183"/>
      <c r="AA155" s="197"/>
    </row>
    <row r="156" spans="1:27" x14ac:dyDescent="0.25">
      <c r="A156" s="16">
        <v>44825</v>
      </c>
      <c r="B156" s="12"/>
      <c r="C156" s="11"/>
      <c r="D156" s="12"/>
      <c r="E156" s="11"/>
      <c r="F156" s="35">
        <f>IF(COUNTIF(B156:E156,0)=4,0,IF(COUNTIF(B156:E156,0)=2,$AD$3,$AC$3))</f>
        <v>0.30833333333333335</v>
      </c>
      <c r="G156" s="36">
        <f>IF(COUNTIF(B156:E156,0)=4,0,IF(COUNTIF(B156:E156,0)=2,$AD$7,$AC$7))</f>
        <v>1.6666666666666666E-2</v>
      </c>
      <c r="H156" s="61">
        <f t="shared" si="97"/>
        <v>0.32500000000000001</v>
      </c>
      <c r="I156" s="35">
        <f t="shared" si="98"/>
        <v>0.30833333333333335</v>
      </c>
      <c r="J156" s="112">
        <f t="shared" si="84"/>
        <v>0</v>
      </c>
      <c r="K156" s="25">
        <f>((C156-B156)+(E156-D156))</f>
        <v>0</v>
      </c>
      <c r="L156" s="169"/>
      <c r="M156" s="171"/>
      <c r="N156" s="174"/>
      <c r="O156" s="169"/>
      <c r="P156" s="171"/>
      <c r="Q156" s="174"/>
      <c r="R156" s="158"/>
      <c r="S156" s="161"/>
      <c r="T156" s="176"/>
      <c r="U156" s="158"/>
      <c r="V156" s="171"/>
      <c r="W156" s="174"/>
      <c r="X156" s="141"/>
      <c r="Y156" s="141"/>
      <c r="Z156" s="183"/>
      <c r="AA156" s="197"/>
    </row>
    <row r="157" spans="1:27" x14ac:dyDescent="0.25">
      <c r="A157" s="16">
        <v>44826</v>
      </c>
      <c r="B157" s="12"/>
      <c r="C157" s="11"/>
      <c r="D157" s="12"/>
      <c r="E157" s="11"/>
      <c r="F157" s="35">
        <f>IF(COUNTIF(B157:E157,0)=4,0,IF(COUNTIF(B157:E157,0)=2,$AD$3,$AC$3))</f>
        <v>0.30833333333333335</v>
      </c>
      <c r="G157" s="36">
        <f>IF(COUNTIF(B157:E157,0)=4,0,IF(COUNTIF(B157:E157,0)=2,$AD$7,$AC$7))</f>
        <v>1.6666666666666666E-2</v>
      </c>
      <c r="H157" s="61">
        <f t="shared" si="97"/>
        <v>0.32500000000000001</v>
      </c>
      <c r="I157" s="35">
        <f t="shared" si="98"/>
        <v>0.30833333333333335</v>
      </c>
      <c r="J157" s="112">
        <f t="shared" si="84"/>
        <v>0</v>
      </c>
      <c r="K157" s="25">
        <f>((C157-B157)+(E157-D157))</f>
        <v>0</v>
      </c>
      <c r="L157" s="169"/>
      <c r="M157" s="171"/>
      <c r="N157" s="174"/>
      <c r="O157" s="169"/>
      <c r="P157" s="171"/>
      <c r="Q157" s="174"/>
      <c r="R157" s="158"/>
      <c r="S157" s="161"/>
      <c r="T157" s="176"/>
      <c r="U157" s="158"/>
      <c r="V157" s="171"/>
      <c r="W157" s="174"/>
      <c r="X157" s="141"/>
      <c r="Y157" s="141"/>
      <c r="Z157" s="183"/>
      <c r="AA157" s="197"/>
    </row>
    <row r="158" spans="1:27" x14ac:dyDescent="0.25">
      <c r="A158" s="16">
        <v>44827</v>
      </c>
      <c r="B158" s="12"/>
      <c r="C158" s="11"/>
      <c r="D158" s="12"/>
      <c r="E158" s="11"/>
      <c r="F158" s="35">
        <f>IF(COUNTIF(B158:E158,0)=4,0,IF(COUNTIF(B158:E158,0)=2,$AD$3,$AC$3))</f>
        <v>0.30833333333333335</v>
      </c>
      <c r="G158" s="36">
        <f>IF(COUNTIF(B158:E158,0)=4,0,IF(COUNTIF(B158:E158,0)=2,$AD$7,$AC$7))</f>
        <v>1.6666666666666666E-2</v>
      </c>
      <c r="H158" s="61">
        <f t="shared" si="97"/>
        <v>0.32500000000000001</v>
      </c>
      <c r="I158" s="35">
        <f t="shared" si="98"/>
        <v>0.30833333333333335</v>
      </c>
      <c r="J158" s="112">
        <f t="shared" si="84"/>
        <v>0</v>
      </c>
      <c r="K158" s="25">
        <f>((C158-B158)+(E158-D158))</f>
        <v>0</v>
      </c>
      <c r="L158" s="169"/>
      <c r="M158" s="171"/>
      <c r="N158" s="174"/>
      <c r="O158" s="169"/>
      <c r="P158" s="171"/>
      <c r="Q158" s="174"/>
      <c r="R158" s="158"/>
      <c r="S158" s="161"/>
      <c r="T158" s="176"/>
      <c r="U158" s="158"/>
      <c r="V158" s="171"/>
      <c r="W158" s="174"/>
      <c r="X158" s="141"/>
      <c r="Y158" s="141"/>
      <c r="Z158" s="183"/>
      <c r="AA158" s="197"/>
    </row>
    <row r="159" spans="1:27" x14ac:dyDescent="0.25">
      <c r="A159" s="16">
        <v>44828</v>
      </c>
      <c r="B159" s="12"/>
      <c r="C159" s="11"/>
      <c r="D159" s="12"/>
      <c r="E159" s="11"/>
      <c r="F159" s="47">
        <f>IF(COUNTIF(B159:E159,0)=4,0,IF(COUNTIF(B159:E159,0)=2,$AD$3,$AC$3))</f>
        <v>0.30833333333333335</v>
      </c>
      <c r="G159" s="48">
        <f>IF(COUNTIF(B159:E159,0)=4,0,IF(COUNTIF(B159:E159,0)=2,$AD$7,$AC$7))</f>
        <v>1.6666666666666666E-2</v>
      </c>
      <c r="H159" s="62">
        <f t="shared" si="97"/>
        <v>0.32500000000000001</v>
      </c>
      <c r="I159" s="47">
        <f t="shared" si="98"/>
        <v>0.30833333333333335</v>
      </c>
      <c r="J159" s="112">
        <f t="shared" si="84"/>
        <v>0</v>
      </c>
      <c r="K159" s="49">
        <f>((C159-B159)+(E159-D159))</f>
        <v>0</v>
      </c>
      <c r="L159" s="169"/>
      <c r="M159" s="171"/>
      <c r="N159" s="174"/>
      <c r="O159" s="169"/>
      <c r="P159" s="171"/>
      <c r="Q159" s="174"/>
      <c r="R159" s="158"/>
      <c r="S159" s="161"/>
      <c r="T159" s="176"/>
      <c r="U159" s="158"/>
      <c r="V159" s="171"/>
      <c r="W159" s="174"/>
      <c r="X159" s="141"/>
      <c r="Y159" s="141"/>
      <c r="Z159" s="183"/>
      <c r="AA159" s="197"/>
    </row>
    <row r="160" spans="1:27" x14ac:dyDescent="0.25">
      <c r="A160" s="18">
        <v>44829</v>
      </c>
      <c r="B160" s="3"/>
      <c r="C160" s="1"/>
      <c r="D160" s="3"/>
      <c r="E160" s="1"/>
      <c r="F160" s="39"/>
      <c r="G160" s="40"/>
      <c r="H160" s="57"/>
      <c r="I160" s="39"/>
      <c r="J160" s="114"/>
      <c r="K160" s="41"/>
      <c r="L160" s="169"/>
      <c r="M160" s="171"/>
      <c r="N160" s="174"/>
      <c r="O160" s="169"/>
      <c r="P160" s="171"/>
      <c r="Q160" s="174"/>
      <c r="R160" s="158"/>
      <c r="S160" s="161"/>
      <c r="T160" s="176"/>
      <c r="U160" s="158"/>
      <c r="V160" s="171"/>
      <c r="W160" s="174"/>
      <c r="X160" s="141"/>
      <c r="Y160" s="141"/>
      <c r="Z160" s="183"/>
      <c r="AA160" s="197"/>
    </row>
    <row r="161" spans="1:31" x14ac:dyDescent="0.25">
      <c r="A161" s="19">
        <v>44830</v>
      </c>
      <c r="B161" s="4"/>
      <c r="C161" s="2"/>
      <c r="D161" s="4"/>
      <c r="E161" s="2"/>
      <c r="F161" s="42"/>
      <c r="G161" s="43"/>
      <c r="H161" s="58"/>
      <c r="I161" s="42"/>
      <c r="J161" s="115"/>
      <c r="K161" s="44"/>
      <c r="L161" s="170"/>
      <c r="M161" s="172"/>
      <c r="N161" s="175"/>
      <c r="O161" s="170"/>
      <c r="P161" s="172"/>
      <c r="Q161" s="175"/>
      <c r="R161" s="158"/>
      <c r="S161" s="161"/>
      <c r="T161" s="176"/>
      <c r="U161" s="158"/>
      <c r="V161" s="171"/>
      <c r="W161" s="174"/>
      <c r="X161" s="141"/>
      <c r="Y161" s="141"/>
      <c r="Z161" s="183"/>
      <c r="AA161" s="197"/>
    </row>
    <row r="162" spans="1:31" x14ac:dyDescent="0.25">
      <c r="A162" s="15">
        <v>44831</v>
      </c>
      <c r="B162" s="9"/>
      <c r="C162" s="8"/>
      <c r="D162" s="9"/>
      <c r="E162" s="8"/>
      <c r="F162" s="33">
        <f>IF(COUNTIF(B162:E162,0)=4,0,IF(COUNTIF(B162:E162,0)=2,$AD$3,$AC$3))</f>
        <v>0.30833333333333335</v>
      </c>
      <c r="G162" s="34">
        <f>IF(COUNTIF(B162:E162,0)=4,0,IF(COUNTIF(B162:E162,0)=2,$AD$7,$AC$7))</f>
        <v>1.6666666666666666E-2</v>
      </c>
      <c r="H162" s="60">
        <f t="shared" si="97"/>
        <v>0.32500000000000001</v>
      </c>
      <c r="I162" s="33">
        <f t="shared" si="98"/>
        <v>0.30833333333333335</v>
      </c>
      <c r="J162" s="112">
        <f t="shared" si="84"/>
        <v>0</v>
      </c>
      <c r="K162" s="24">
        <f>((C162-B162)+(E162-D162))</f>
        <v>0</v>
      </c>
      <c r="L162" s="157">
        <f t="shared" ref="L162:M162" si="119">SUM(F162:F168)</f>
        <v>1.5416666666666667</v>
      </c>
      <c r="M162" s="160">
        <f t="shared" si="119"/>
        <v>8.3333333333333329E-2</v>
      </c>
      <c r="N162" s="173">
        <f t="shared" ref="N162" si="120">L162+M162</f>
        <v>1.625</v>
      </c>
      <c r="O162" s="157">
        <f t="shared" ref="O162:P162" si="121">SUM(I162:I168)</f>
        <v>1.5416666666666667</v>
      </c>
      <c r="P162" s="160">
        <f t="shared" si="121"/>
        <v>0</v>
      </c>
      <c r="Q162" s="173">
        <f t="shared" ref="Q162" si="122">O162+P162</f>
        <v>1.5416666666666667</v>
      </c>
      <c r="R162" s="158"/>
      <c r="S162" s="161"/>
      <c r="T162" s="176"/>
      <c r="U162" s="158"/>
      <c r="V162" s="171"/>
      <c r="W162" s="174"/>
      <c r="X162" s="141">
        <f>(SUM(G162:G164)*24)*($AC$14+$AC$14*$AD$14)</f>
        <v>39.724350000000008</v>
      </c>
      <c r="Y162" s="141">
        <f>(SUM(J162:J164)*24)*($AC$14+$AC$14*$AD$14)</f>
        <v>0</v>
      </c>
      <c r="Z162" s="183"/>
      <c r="AA162" s="197"/>
    </row>
    <row r="163" spans="1:31" x14ac:dyDescent="0.25">
      <c r="A163" s="16">
        <v>44832</v>
      </c>
      <c r="B163" s="12"/>
      <c r="C163" s="11"/>
      <c r="D163" s="12"/>
      <c r="E163" s="11"/>
      <c r="F163" s="35">
        <f>IF(COUNTIF(B163:E163,0)=4,0,IF(COUNTIF(B163:E163,0)=2,$AD$3,$AC$3))</f>
        <v>0.30833333333333335</v>
      </c>
      <c r="G163" s="36">
        <f>IF(COUNTIF(B163:E163,0)=4,0,IF(COUNTIF(B163:E163,0)=2,$AD$7,$AC$7))</f>
        <v>1.6666666666666666E-2</v>
      </c>
      <c r="H163" s="61">
        <f t="shared" si="97"/>
        <v>0.32500000000000001</v>
      </c>
      <c r="I163" s="35">
        <f t="shared" si="98"/>
        <v>0.30833333333333335</v>
      </c>
      <c r="J163" s="112">
        <f t="shared" si="84"/>
        <v>0</v>
      </c>
      <c r="K163" s="25">
        <f>((C163-B163)+(E163-D163))</f>
        <v>0</v>
      </c>
      <c r="L163" s="169"/>
      <c r="M163" s="171"/>
      <c r="N163" s="174"/>
      <c r="O163" s="169"/>
      <c r="P163" s="171"/>
      <c r="Q163" s="174"/>
      <c r="R163" s="158"/>
      <c r="S163" s="161"/>
      <c r="T163" s="176"/>
      <c r="U163" s="158"/>
      <c r="V163" s="171"/>
      <c r="W163" s="174"/>
      <c r="X163" s="141"/>
      <c r="Y163" s="141"/>
      <c r="Z163" s="183"/>
      <c r="AA163" s="197"/>
    </row>
    <row r="164" spans="1:31" x14ac:dyDescent="0.25">
      <c r="A164" s="16">
        <v>44833</v>
      </c>
      <c r="B164" s="12"/>
      <c r="C164" s="11"/>
      <c r="D164" s="12"/>
      <c r="E164" s="11"/>
      <c r="F164" s="35">
        <f>IF(COUNTIF(B164:E164,0)=4,0,IF(COUNTIF(B164:E164,0)=2,$AD$3,$AC$3))</f>
        <v>0.30833333333333335</v>
      </c>
      <c r="G164" s="36">
        <f>IF(COUNTIF(B164:E164,0)=4,0,IF(COUNTIF(B164:E164,0)=2,$AD$7,$AC$7))</f>
        <v>1.6666666666666666E-2</v>
      </c>
      <c r="H164" s="61">
        <f t="shared" si="97"/>
        <v>0.32500000000000001</v>
      </c>
      <c r="I164" s="35">
        <f t="shared" si="98"/>
        <v>0.30833333333333335</v>
      </c>
      <c r="J164" s="112">
        <f t="shared" si="84"/>
        <v>0</v>
      </c>
      <c r="K164" s="25">
        <f>((C164-B164)+(E164-D164))</f>
        <v>0</v>
      </c>
      <c r="L164" s="169"/>
      <c r="M164" s="171"/>
      <c r="N164" s="174"/>
      <c r="O164" s="169"/>
      <c r="P164" s="171"/>
      <c r="Q164" s="174"/>
      <c r="R164" s="159"/>
      <c r="S164" s="162"/>
      <c r="T164" s="177"/>
      <c r="U164" s="159"/>
      <c r="V164" s="172"/>
      <c r="W164" s="175"/>
      <c r="X164" s="141"/>
      <c r="Y164" s="141"/>
      <c r="Z164" s="183"/>
      <c r="AA164" s="197"/>
    </row>
    <row r="165" spans="1:31" x14ac:dyDescent="0.25">
      <c r="A165" s="16">
        <v>44834</v>
      </c>
      <c r="B165" s="12"/>
      <c r="C165" s="11"/>
      <c r="D165" s="12"/>
      <c r="E165" s="11"/>
      <c r="F165" s="35">
        <f>IF(COUNTIF(B165:E165,0)=4,0,IF(COUNTIF(B165:E165,0)=2,$AD$3,$AC$3))</f>
        <v>0.30833333333333335</v>
      </c>
      <c r="G165" s="36">
        <f>IF(COUNTIF(B165:E165,0)=4,0,IF(COUNTIF(B165:E165,0)=2,$AD$7,$AC$7))</f>
        <v>1.6666666666666666E-2</v>
      </c>
      <c r="H165" s="61">
        <f t="shared" si="97"/>
        <v>0.32500000000000001</v>
      </c>
      <c r="I165" s="35">
        <f t="shared" si="98"/>
        <v>0.30833333333333335</v>
      </c>
      <c r="J165" s="112">
        <f t="shared" si="84"/>
        <v>0</v>
      </c>
      <c r="K165" s="25">
        <f>((C165-B165)+(E165-D165))</f>
        <v>0</v>
      </c>
      <c r="L165" s="169"/>
      <c r="M165" s="171"/>
      <c r="N165" s="174"/>
      <c r="O165" s="169"/>
      <c r="P165" s="171"/>
      <c r="Q165" s="174"/>
      <c r="R165" s="157">
        <f>SUM(F165:F195)</f>
        <v>6.7833333333333368</v>
      </c>
      <c r="S165" s="160">
        <f>SUM(G165:G195)</f>
        <v>0.36666666666666664</v>
      </c>
      <c r="T165" s="173">
        <f>R165+S165</f>
        <v>7.150000000000003</v>
      </c>
      <c r="U165" s="157">
        <f>SUM(I165:I195)</f>
        <v>6.7833333333333368</v>
      </c>
      <c r="V165" s="160">
        <f>SUM(J165:J195)</f>
        <v>0</v>
      </c>
      <c r="W165" s="163">
        <f>U165+V165</f>
        <v>6.7833333333333368</v>
      </c>
      <c r="X165" s="140">
        <f>(SUM(G165:G168)*24)*($AC$14+$AC$14*$AD$14)</f>
        <v>26.482900000000001</v>
      </c>
      <c r="Y165" s="140">
        <f>(SUM(J165:J168)*24)*($AC$14+$AC$14*$AD$14)</f>
        <v>0</v>
      </c>
      <c r="Z165" s="188"/>
      <c r="AA165" s="198"/>
      <c r="AB165" s="77"/>
      <c r="AC165" s="77"/>
      <c r="AD165" s="77"/>
      <c r="AE165" s="77"/>
    </row>
    <row r="166" spans="1:31" x14ac:dyDescent="0.25">
      <c r="A166" s="16">
        <v>44835</v>
      </c>
      <c r="B166" s="12"/>
      <c r="C166" s="11"/>
      <c r="D166" s="12"/>
      <c r="E166" s="11"/>
      <c r="F166" s="47">
        <f>IF(COUNTIF(B166:E166,0)=4,0,IF(COUNTIF(B166:E166,0)=2,$AD$3,$AC$3))</f>
        <v>0.30833333333333335</v>
      </c>
      <c r="G166" s="48">
        <f>IF(COUNTIF(B166:E166,0)=4,0,IF(COUNTIF(B166:E166,0)=2,$AD$7,$AC$7))</f>
        <v>1.6666666666666666E-2</v>
      </c>
      <c r="H166" s="62">
        <f t="shared" si="97"/>
        <v>0.32500000000000001</v>
      </c>
      <c r="I166" s="47">
        <f t="shared" si="98"/>
        <v>0.30833333333333335</v>
      </c>
      <c r="J166" s="112">
        <f t="shared" si="84"/>
        <v>0</v>
      </c>
      <c r="K166" s="49">
        <f>((C166-B166)+(E166-D166))</f>
        <v>0</v>
      </c>
      <c r="L166" s="169"/>
      <c r="M166" s="171"/>
      <c r="N166" s="174"/>
      <c r="O166" s="169"/>
      <c r="P166" s="171"/>
      <c r="Q166" s="174"/>
      <c r="R166" s="158"/>
      <c r="S166" s="161"/>
      <c r="T166" s="176"/>
      <c r="U166" s="158"/>
      <c r="V166" s="161"/>
      <c r="W166" s="164"/>
      <c r="X166" s="140"/>
      <c r="Y166" s="140"/>
      <c r="Z166" s="188"/>
      <c r="AA166" s="198"/>
      <c r="AB166" s="77"/>
      <c r="AC166" s="77"/>
      <c r="AD166" s="77"/>
      <c r="AE166" s="77"/>
    </row>
    <row r="167" spans="1:31" x14ac:dyDescent="0.25">
      <c r="A167" s="18">
        <v>44836</v>
      </c>
      <c r="B167" s="3"/>
      <c r="C167" s="1"/>
      <c r="D167" s="3"/>
      <c r="E167" s="1"/>
      <c r="F167" s="39"/>
      <c r="G167" s="40"/>
      <c r="H167" s="57"/>
      <c r="I167" s="39"/>
      <c r="J167" s="114"/>
      <c r="K167" s="41"/>
      <c r="L167" s="169"/>
      <c r="M167" s="171"/>
      <c r="N167" s="174"/>
      <c r="O167" s="169"/>
      <c r="P167" s="171"/>
      <c r="Q167" s="174"/>
      <c r="R167" s="158"/>
      <c r="S167" s="161"/>
      <c r="T167" s="176"/>
      <c r="U167" s="158"/>
      <c r="V167" s="161"/>
      <c r="W167" s="164"/>
      <c r="X167" s="140"/>
      <c r="Y167" s="140"/>
      <c r="Z167" s="188"/>
      <c r="AA167" s="198"/>
      <c r="AB167" s="77"/>
      <c r="AC167" s="77"/>
      <c r="AD167" s="77"/>
      <c r="AE167" s="77"/>
    </row>
    <row r="168" spans="1:31" x14ac:dyDescent="0.25">
      <c r="A168" s="19">
        <v>44837</v>
      </c>
      <c r="B168" s="4"/>
      <c r="C168" s="2"/>
      <c r="D168" s="4"/>
      <c r="E168" s="2"/>
      <c r="F168" s="42"/>
      <c r="G168" s="43"/>
      <c r="H168" s="58"/>
      <c r="I168" s="42"/>
      <c r="J168" s="115"/>
      <c r="K168" s="44"/>
      <c r="L168" s="170"/>
      <c r="M168" s="172"/>
      <c r="N168" s="175"/>
      <c r="O168" s="170"/>
      <c r="P168" s="172"/>
      <c r="Q168" s="175"/>
      <c r="R168" s="158"/>
      <c r="S168" s="161"/>
      <c r="T168" s="176"/>
      <c r="U168" s="158"/>
      <c r="V168" s="161"/>
      <c r="W168" s="164"/>
      <c r="X168" s="140"/>
      <c r="Y168" s="140"/>
      <c r="Z168" s="188"/>
      <c r="AA168" s="198"/>
      <c r="AB168" s="77"/>
      <c r="AC168" s="77"/>
      <c r="AD168" s="77"/>
      <c r="AE168" s="77"/>
    </row>
    <row r="169" spans="1:31" x14ac:dyDescent="0.25">
      <c r="A169" s="15">
        <v>44838</v>
      </c>
      <c r="B169" s="9"/>
      <c r="C169" s="8"/>
      <c r="D169" s="9"/>
      <c r="E169" s="8"/>
      <c r="F169" s="33">
        <f>IF(COUNTIF(B169:E169,0)=4,0,IF(COUNTIF(B169:E169,0)=2,$AD$3,$AC$3))</f>
        <v>0.30833333333333335</v>
      </c>
      <c r="G169" s="34">
        <f>IF(COUNTIF(B169:E169,0)=4,0,IF(COUNTIF(B169:E169,0)=2,$AD$7,$AC$7))</f>
        <v>1.6666666666666666E-2</v>
      </c>
      <c r="H169" s="60">
        <f t="shared" si="97"/>
        <v>0.32500000000000001</v>
      </c>
      <c r="I169" s="33">
        <f t="shared" si="98"/>
        <v>0.30833333333333335</v>
      </c>
      <c r="J169" s="112">
        <f t="shared" si="84"/>
        <v>0</v>
      </c>
      <c r="K169" s="24">
        <f>((C169-B169)+(E169-D169))</f>
        <v>0</v>
      </c>
      <c r="L169" s="157">
        <f t="shared" ref="L169:M169" si="123">SUM(F169:F175)</f>
        <v>1.5416666666666667</v>
      </c>
      <c r="M169" s="160">
        <f t="shared" si="123"/>
        <v>8.3333333333333329E-2</v>
      </c>
      <c r="N169" s="173">
        <f t="shared" ref="N169" si="124">L169+M169</f>
        <v>1.625</v>
      </c>
      <c r="O169" s="157">
        <f t="shared" ref="O169:P169" si="125">SUM(I169:I175)</f>
        <v>1.5416666666666667</v>
      </c>
      <c r="P169" s="160">
        <f t="shared" si="125"/>
        <v>0</v>
      </c>
      <c r="Q169" s="173">
        <f t="shared" ref="Q169" si="126">O169+P169</f>
        <v>1.5416666666666667</v>
      </c>
      <c r="R169" s="158"/>
      <c r="S169" s="161"/>
      <c r="T169" s="176"/>
      <c r="U169" s="158"/>
      <c r="V169" s="161"/>
      <c r="W169" s="164"/>
      <c r="X169" s="140">
        <f>(SUM(G169:G175)*24)*($AC$14+$AC$14*$AD$14)</f>
        <v>66.207250000000002</v>
      </c>
      <c r="Y169" s="140">
        <f>(SUM(J169:J175)*24)*($AC$14+$AC$14*$AD$14)</f>
        <v>0</v>
      </c>
      <c r="Z169" s="188"/>
      <c r="AA169" s="198"/>
      <c r="AB169" s="77"/>
      <c r="AC169" s="77"/>
      <c r="AD169" s="77"/>
      <c r="AE169" s="77"/>
    </row>
    <row r="170" spans="1:31" x14ac:dyDescent="0.25">
      <c r="A170" s="16">
        <v>44839</v>
      </c>
      <c r="B170" s="12"/>
      <c r="C170" s="11"/>
      <c r="D170" s="12"/>
      <c r="E170" s="11"/>
      <c r="F170" s="35">
        <f>IF(COUNTIF(B170:E170,0)=4,0,IF(COUNTIF(B170:E170,0)=2,$AD$3,$AC$3))</f>
        <v>0.30833333333333335</v>
      </c>
      <c r="G170" s="36">
        <f>IF(COUNTIF(B170:E170,0)=4,0,IF(COUNTIF(B170:E170,0)=2,$AD$7,$AC$7))</f>
        <v>1.6666666666666666E-2</v>
      </c>
      <c r="H170" s="61">
        <f t="shared" si="97"/>
        <v>0.32500000000000001</v>
      </c>
      <c r="I170" s="35">
        <f t="shared" si="98"/>
        <v>0.30833333333333335</v>
      </c>
      <c r="J170" s="112">
        <f t="shared" si="84"/>
        <v>0</v>
      </c>
      <c r="K170" s="25">
        <f>((C170-B170)+(E170-D170))</f>
        <v>0</v>
      </c>
      <c r="L170" s="169"/>
      <c r="M170" s="171"/>
      <c r="N170" s="174"/>
      <c r="O170" s="169"/>
      <c r="P170" s="171"/>
      <c r="Q170" s="174"/>
      <c r="R170" s="158"/>
      <c r="S170" s="161"/>
      <c r="T170" s="176"/>
      <c r="U170" s="158"/>
      <c r="V170" s="161"/>
      <c r="W170" s="164"/>
      <c r="X170" s="140"/>
      <c r="Y170" s="140"/>
      <c r="Z170" s="188"/>
      <c r="AA170" s="198"/>
      <c r="AB170" s="77"/>
      <c r="AC170" s="77"/>
      <c r="AD170" s="77"/>
      <c r="AE170" s="77"/>
    </row>
    <row r="171" spans="1:31" x14ac:dyDescent="0.25">
      <c r="A171" s="16">
        <v>44840</v>
      </c>
      <c r="B171" s="12"/>
      <c r="C171" s="11"/>
      <c r="D171" s="12"/>
      <c r="E171" s="11"/>
      <c r="F171" s="35">
        <f>IF(COUNTIF(B171:E171,0)=4,0,IF(COUNTIF(B171:E171,0)=2,$AD$3,$AC$3))</f>
        <v>0.30833333333333335</v>
      </c>
      <c r="G171" s="36">
        <f>IF(COUNTIF(B171:E171,0)=4,0,IF(COUNTIF(B171:E171,0)=2,$AD$7,$AC$7))</f>
        <v>1.6666666666666666E-2</v>
      </c>
      <c r="H171" s="61">
        <f t="shared" si="97"/>
        <v>0.32500000000000001</v>
      </c>
      <c r="I171" s="35">
        <f t="shared" si="98"/>
        <v>0.30833333333333335</v>
      </c>
      <c r="J171" s="112">
        <f t="shared" si="84"/>
        <v>0</v>
      </c>
      <c r="K171" s="25">
        <f>((C171-B171)+(E171-D171))</f>
        <v>0</v>
      </c>
      <c r="L171" s="169"/>
      <c r="M171" s="171"/>
      <c r="N171" s="174"/>
      <c r="O171" s="169"/>
      <c r="P171" s="171"/>
      <c r="Q171" s="174"/>
      <c r="R171" s="158"/>
      <c r="S171" s="161"/>
      <c r="T171" s="176"/>
      <c r="U171" s="158"/>
      <c r="V171" s="161"/>
      <c r="W171" s="164"/>
      <c r="X171" s="140"/>
      <c r="Y171" s="140"/>
      <c r="Z171" s="188"/>
      <c r="AA171" s="198"/>
      <c r="AB171" s="77"/>
      <c r="AC171" s="77"/>
      <c r="AD171" s="77"/>
      <c r="AE171" s="77"/>
    </row>
    <row r="172" spans="1:31" x14ac:dyDescent="0.25">
      <c r="A172" s="16">
        <v>44841</v>
      </c>
      <c r="B172" s="12"/>
      <c r="C172" s="11"/>
      <c r="D172" s="12"/>
      <c r="E172" s="11"/>
      <c r="F172" s="35">
        <f>IF(COUNTIF(B172:E172,0)=4,0,IF(COUNTIF(B172:E172,0)=2,$AD$3,$AC$3))</f>
        <v>0.30833333333333335</v>
      </c>
      <c r="G172" s="36">
        <f>IF(COUNTIF(B172:E172,0)=4,0,IF(COUNTIF(B172:E172,0)=2,$AD$7,$AC$7))</f>
        <v>1.6666666666666666E-2</v>
      </c>
      <c r="H172" s="61">
        <f t="shared" si="97"/>
        <v>0.32500000000000001</v>
      </c>
      <c r="I172" s="35">
        <f t="shared" si="98"/>
        <v>0.30833333333333335</v>
      </c>
      <c r="J172" s="112">
        <f t="shared" si="84"/>
        <v>0</v>
      </c>
      <c r="K172" s="25">
        <f>((C172-B172)+(E172-D172))</f>
        <v>0</v>
      </c>
      <c r="L172" s="169"/>
      <c r="M172" s="171"/>
      <c r="N172" s="174"/>
      <c r="O172" s="169"/>
      <c r="P172" s="171"/>
      <c r="Q172" s="174"/>
      <c r="R172" s="158"/>
      <c r="S172" s="161"/>
      <c r="T172" s="176"/>
      <c r="U172" s="158"/>
      <c r="V172" s="161"/>
      <c r="W172" s="164"/>
      <c r="X172" s="140"/>
      <c r="Y172" s="140"/>
      <c r="Z172" s="188"/>
      <c r="AA172" s="198"/>
      <c r="AB172" s="77"/>
      <c r="AC172" s="77"/>
      <c r="AD172" s="77"/>
      <c r="AE172" s="77"/>
    </row>
    <row r="173" spans="1:31" x14ac:dyDescent="0.25">
      <c r="A173" s="16">
        <v>44842</v>
      </c>
      <c r="B173" s="12"/>
      <c r="C173" s="11"/>
      <c r="D173" s="12"/>
      <c r="E173" s="11"/>
      <c r="F173" s="47">
        <f>IF(COUNTIF(B173:E173,0)=4,0,IF(COUNTIF(B173:E173,0)=2,$AD$3,$AC$3))</f>
        <v>0.30833333333333335</v>
      </c>
      <c r="G173" s="48">
        <f>IF(COUNTIF(B173:E173,0)=4,0,IF(COUNTIF(B173:E173,0)=2,$AD$7,$AC$7))</f>
        <v>1.6666666666666666E-2</v>
      </c>
      <c r="H173" s="62">
        <f t="shared" si="97"/>
        <v>0.32500000000000001</v>
      </c>
      <c r="I173" s="47">
        <f t="shared" si="98"/>
        <v>0.30833333333333335</v>
      </c>
      <c r="J173" s="112">
        <f t="shared" si="84"/>
        <v>0</v>
      </c>
      <c r="K173" s="49">
        <f>((C173-B173)+(E173-D173))</f>
        <v>0</v>
      </c>
      <c r="L173" s="169"/>
      <c r="M173" s="171"/>
      <c r="N173" s="174"/>
      <c r="O173" s="169"/>
      <c r="P173" s="171"/>
      <c r="Q173" s="174"/>
      <c r="R173" s="158"/>
      <c r="S173" s="161"/>
      <c r="T173" s="176"/>
      <c r="U173" s="158"/>
      <c r="V173" s="161"/>
      <c r="W173" s="164"/>
      <c r="X173" s="140"/>
      <c r="Y173" s="140"/>
      <c r="Z173" s="188"/>
      <c r="AA173" s="198"/>
      <c r="AB173" s="77"/>
      <c r="AC173" s="77"/>
      <c r="AD173" s="77"/>
      <c r="AE173" s="77"/>
    </row>
    <row r="174" spans="1:31" x14ac:dyDescent="0.25">
      <c r="A174" s="18">
        <v>44843</v>
      </c>
      <c r="B174" s="3"/>
      <c r="C174" s="1"/>
      <c r="D174" s="3"/>
      <c r="E174" s="1"/>
      <c r="F174" s="39"/>
      <c r="G174" s="40"/>
      <c r="H174" s="57"/>
      <c r="I174" s="39"/>
      <c r="J174" s="114"/>
      <c r="K174" s="41"/>
      <c r="L174" s="169"/>
      <c r="M174" s="171"/>
      <c r="N174" s="174"/>
      <c r="O174" s="169"/>
      <c r="P174" s="171"/>
      <c r="Q174" s="174"/>
      <c r="R174" s="158"/>
      <c r="S174" s="161"/>
      <c r="T174" s="176"/>
      <c r="U174" s="158"/>
      <c r="V174" s="161"/>
      <c r="W174" s="164"/>
      <c r="X174" s="140"/>
      <c r="Y174" s="140"/>
      <c r="Z174" s="188"/>
      <c r="AA174" s="198"/>
      <c r="AB174" s="77"/>
      <c r="AC174" s="77"/>
      <c r="AD174" s="77"/>
      <c r="AE174" s="77"/>
    </row>
    <row r="175" spans="1:31" x14ac:dyDescent="0.25">
      <c r="A175" s="19">
        <v>44844</v>
      </c>
      <c r="B175" s="4"/>
      <c r="C175" s="2"/>
      <c r="D175" s="4"/>
      <c r="E175" s="2"/>
      <c r="F175" s="42"/>
      <c r="G175" s="43"/>
      <c r="H175" s="58"/>
      <c r="I175" s="42"/>
      <c r="J175" s="115"/>
      <c r="K175" s="44"/>
      <c r="L175" s="170"/>
      <c r="M175" s="172"/>
      <c r="N175" s="175"/>
      <c r="O175" s="170"/>
      <c r="P175" s="172"/>
      <c r="Q175" s="175"/>
      <c r="R175" s="158"/>
      <c r="S175" s="161"/>
      <c r="T175" s="176"/>
      <c r="U175" s="158"/>
      <c r="V175" s="161"/>
      <c r="W175" s="164"/>
      <c r="X175" s="140"/>
      <c r="Y175" s="140"/>
      <c r="Z175" s="188"/>
      <c r="AA175" s="198"/>
      <c r="AB175" s="77"/>
      <c r="AC175" s="77"/>
      <c r="AD175" s="77"/>
      <c r="AE175" s="77"/>
    </row>
    <row r="176" spans="1:31" x14ac:dyDescent="0.25">
      <c r="A176" s="15">
        <v>44845</v>
      </c>
      <c r="B176" s="9"/>
      <c r="C176" s="8"/>
      <c r="D176" s="9"/>
      <c r="E176" s="8"/>
      <c r="F176" s="33">
        <f>IF(COUNTIF(B176:E176,0)=4,0,IF(COUNTIF(B176:E176,0)=2,$AD$3,$AC$3))</f>
        <v>0.30833333333333335</v>
      </c>
      <c r="G176" s="34">
        <f>IF(COUNTIF(B176:E176,0)=4,0,IF(COUNTIF(B176:E176,0)=2,$AD$7,$AC$7))</f>
        <v>1.6666666666666666E-2</v>
      </c>
      <c r="H176" s="60">
        <f t="shared" si="97"/>
        <v>0.32500000000000001</v>
      </c>
      <c r="I176" s="33">
        <f t="shared" si="98"/>
        <v>0.30833333333333335</v>
      </c>
      <c r="J176" s="112">
        <f t="shared" si="84"/>
        <v>0</v>
      </c>
      <c r="K176" s="24">
        <f>((C176-B176)+(E176-D176))</f>
        <v>0</v>
      </c>
      <c r="L176" s="157">
        <f t="shared" ref="L176:M176" si="127">SUM(F176:F182)</f>
        <v>1.5416666666666667</v>
      </c>
      <c r="M176" s="160">
        <f t="shared" si="127"/>
        <v>8.3333333333333329E-2</v>
      </c>
      <c r="N176" s="173">
        <f t="shared" ref="N176" si="128">L176+M176</f>
        <v>1.625</v>
      </c>
      <c r="O176" s="157">
        <f t="shared" ref="O176:P176" si="129">SUM(I176:I182)</f>
        <v>1.5416666666666667</v>
      </c>
      <c r="P176" s="160">
        <f t="shared" si="129"/>
        <v>0</v>
      </c>
      <c r="Q176" s="173">
        <f t="shared" ref="Q176" si="130">O176+P176</f>
        <v>1.5416666666666667</v>
      </c>
      <c r="R176" s="158"/>
      <c r="S176" s="161"/>
      <c r="T176" s="176"/>
      <c r="U176" s="158"/>
      <c r="V176" s="161"/>
      <c r="W176" s="164"/>
      <c r="X176" s="140">
        <f t="shared" ref="X176" si="131">(SUM(G176:G182)*24)*($AC$14+$AC$14*$AD$14)</f>
        <v>66.207250000000002</v>
      </c>
      <c r="Y176" s="140">
        <f t="shared" ref="Y176" si="132">(SUM(J176:J182)*24)*($AC$14+$AC$14*$AD$14)</f>
        <v>0</v>
      </c>
      <c r="Z176" s="188"/>
      <c r="AA176" s="198"/>
      <c r="AB176" s="77"/>
      <c r="AC176" s="77"/>
      <c r="AD176" s="77"/>
      <c r="AE176" s="77"/>
    </row>
    <row r="177" spans="1:31" x14ac:dyDescent="0.25">
      <c r="A177" s="16">
        <v>44846</v>
      </c>
      <c r="B177" s="12"/>
      <c r="C177" s="11"/>
      <c r="D177" s="12"/>
      <c r="E177" s="11"/>
      <c r="F177" s="35">
        <f>IF(COUNTIF(B177:E177,0)=4,0,IF(COUNTIF(B177:E177,0)=2,$AD$3,$AC$3))</f>
        <v>0.30833333333333335</v>
      </c>
      <c r="G177" s="36">
        <f>IF(COUNTIF(B177:E177,0)=4,0,IF(COUNTIF(B177:E177,0)=2,$AD$7,$AC$7))</f>
        <v>1.6666666666666666E-2</v>
      </c>
      <c r="H177" s="61">
        <f t="shared" si="97"/>
        <v>0.32500000000000001</v>
      </c>
      <c r="I177" s="35">
        <f t="shared" si="98"/>
        <v>0.30833333333333335</v>
      </c>
      <c r="J177" s="112">
        <f t="shared" si="84"/>
        <v>0</v>
      </c>
      <c r="K177" s="25">
        <f>((C177-B177)+(E177-D177))</f>
        <v>0</v>
      </c>
      <c r="L177" s="169"/>
      <c r="M177" s="171"/>
      <c r="N177" s="174"/>
      <c r="O177" s="169"/>
      <c r="P177" s="171"/>
      <c r="Q177" s="174"/>
      <c r="R177" s="158"/>
      <c r="S177" s="161"/>
      <c r="T177" s="176"/>
      <c r="U177" s="158"/>
      <c r="V177" s="161"/>
      <c r="W177" s="164"/>
      <c r="X177" s="140"/>
      <c r="Y177" s="140"/>
      <c r="Z177" s="188"/>
      <c r="AA177" s="198"/>
      <c r="AB177" s="77"/>
      <c r="AC177" s="77"/>
      <c r="AD177" s="77"/>
      <c r="AE177" s="77"/>
    </row>
    <row r="178" spans="1:31" x14ac:dyDescent="0.25">
      <c r="A178" s="16">
        <v>44847</v>
      </c>
      <c r="B178" s="12"/>
      <c r="C178" s="11"/>
      <c r="D178" s="12"/>
      <c r="E178" s="11"/>
      <c r="F178" s="35">
        <f>IF(COUNTIF(B178:E178,0)=4,0,IF(COUNTIF(B178:E178,0)=2,$AD$3,$AC$3))</f>
        <v>0.30833333333333335</v>
      </c>
      <c r="G178" s="36">
        <f>IF(COUNTIF(B178:E178,0)=4,0,IF(COUNTIF(B178:E178,0)=2,$AD$7,$AC$7))</f>
        <v>1.6666666666666666E-2</v>
      </c>
      <c r="H178" s="61">
        <f t="shared" si="97"/>
        <v>0.32500000000000001</v>
      </c>
      <c r="I178" s="35">
        <f t="shared" si="98"/>
        <v>0.30833333333333335</v>
      </c>
      <c r="J178" s="112">
        <f t="shared" si="84"/>
        <v>0</v>
      </c>
      <c r="K178" s="25">
        <f>((C178-B178)+(E178-D178))</f>
        <v>0</v>
      </c>
      <c r="L178" s="169"/>
      <c r="M178" s="171"/>
      <c r="N178" s="174"/>
      <c r="O178" s="169"/>
      <c r="P178" s="171"/>
      <c r="Q178" s="174"/>
      <c r="R178" s="158"/>
      <c r="S178" s="161"/>
      <c r="T178" s="176"/>
      <c r="U178" s="158"/>
      <c r="V178" s="161"/>
      <c r="W178" s="164"/>
      <c r="X178" s="140"/>
      <c r="Y178" s="140"/>
      <c r="Z178" s="188"/>
      <c r="AA178" s="198"/>
      <c r="AB178" s="77"/>
      <c r="AC178" s="77"/>
      <c r="AD178" s="77"/>
      <c r="AE178" s="77"/>
    </row>
    <row r="179" spans="1:31" x14ac:dyDescent="0.25">
      <c r="A179" s="16">
        <v>44848</v>
      </c>
      <c r="B179" s="12"/>
      <c r="C179" s="11"/>
      <c r="D179" s="12"/>
      <c r="E179" s="11"/>
      <c r="F179" s="35">
        <f>IF(COUNTIF(B179:E179,0)=4,0,IF(COUNTIF(B179:E179,0)=2,$AD$3,$AC$3))</f>
        <v>0.30833333333333335</v>
      </c>
      <c r="G179" s="36">
        <f>IF(COUNTIF(B179:E179,0)=4,0,IF(COUNTIF(B179:E179,0)=2,$AD$7,$AC$7))</f>
        <v>1.6666666666666666E-2</v>
      </c>
      <c r="H179" s="61">
        <f t="shared" si="97"/>
        <v>0.32500000000000001</v>
      </c>
      <c r="I179" s="35">
        <f t="shared" si="98"/>
        <v>0.30833333333333335</v>
      </c>
      <c r="J179" s="112">
        <f t="shared" ref="J179:J242" si="133">IF(K179-I179&lt;0,0,K179-I179)</f>
        <v>0</v>
      </c>
      <c r="K179" s="25">
        <f>((C179-B179)+(E179-D179))</f>
        <v>0</v>
      </c>
      <c r="L179" s="169"/>
      <c r="M179" s="171"/>
      <c r="N179" s="174"/>
      <c r="O179" s="169"/>
      <c r="P179" s="171"/>
      <c r="Q179" s="174"/>
      <c r="R179" s="158"/>
      <c r="S179" s="161"/>
      <c r="T179" s="176"/>
      <c r="U179" s="158"/>
      <c r="V179" s="161"/>
      <c r="W179" s="164"/>
      <c r="X179" s="140"/>
      <c r="Y179" s="140"/>
      <c r="Z179" s="188"/>
      <c r="AA179" s="198"/>
      <c r="AB179" s="77"/>
      <c r="AC179" s="77"/>
      <c r="AD179" s="77"/>
      <c r="AE179" s="77"/>
    </row>
    <row r="180" spans="1:31" x14ac:dyDescent="0.25">
      <c r="A180" s="16">
        <v>44849</v>
      </c>
      <c r="B180" s="12"/>
      <c r="C180" s="11"/>
      <c r="D180" s="12"/>
      <c r="E180" s="11"/>
      <c r="F180" s="47">
        <f>IF(COUNTIF(B180:E180,0)=4,0,IF(COUNTIF(B180:E180,0)=2,$AD$3,$AC$3))</f>
        <v>0.30833333333333335</v>
      </c>
      <c r="G180" s="48">
        <f>IF(COUNTIF(B180:E180,0)=4,0,IF(COUNTIF(B180:E180,0)=2,$AD$7,$AC$7))</f>
        <v>1.6666666666666666E-2</v>
      </c>
      <c r="H180" s="62">
        <f t="shared" si="97"/>
        <v>0.32500000000000001</v>
      </c>
      <c r="I180" s="47">
        <f t="shared" si="98"/>
        <v>0.30833333333333335</v>
      </c>
      <c r="J180" s="112">
        <f t="shared" si="133"/>
        <v>0</v>
      </c>
      <c r="K180" s="49">
        <f>((C180-B180)+(E180-D180))</f>
        <v>0</v>
      </c>
      <c r="L180" s="169"/>
      <c r="M180" s="171"/>
      <c r="N180" s="174"/>
      <c r="O180" s="169"/>
      <c r="P180" s="171"/>
      <c r="Q180" s="174"/>
      <c r="R180" s="158"/>
      <c r="S180" s="161"/>
      <c r="T180" s="176"/>
      <c r="U180" s="158"/>
      <c r="V180" s="161"/>
      <c r="W180" s="164"/>
      <c r="X180" s="140"/>
      <c r="Y180" s="140"/>
      <c r="Z180" s="188"/>
      <c r="AA180" s="198"/>
      <c r="AB180" s="77"/>
      <c r="AC180" s="77"/>
      <c r="AD180" s="77"/>
      <c r="AE180" s="77"/>
    </row>
    <row r="181" spans="1:31" x14ac:dyDescent="0.25">
      <c r="A181" s="18">
        <v>44850</v>
      </c>
      <c r="B181" s="3"/>
      <c r="C181" s="1"/>
      <c r="D181" s="3"/>
      <c r="E181" s="1"/>
      <c r="F181" s="39"/>
      <c r="G181" s="40"/>
      <c r="H181" s="57"/>
      <c r="I181" s="39"/>
      <c r="J181" s="114"/>
      <c r="K181" s="41"/>
      <c r="L181" s="169"/>
      <c r="M181" s="171"/>
      <c r="N181" s="174"/>
      <c r="O181" s="169"/>
      <c r="P181" s="171"/>
      <c r="Q181" s="174"/>
      <c r="R181" s="158"/>
      <c r="S181" s="161"/>
      <c r="T181" s="176"/>
      <c r="U181" s="158"/>
      <c r="V181" s="161"/>
      <c r="W181" s="164"/>
      <c r="X181" s="140"/>
      <c r="Y181" s="140"/>
      <c r="Z181" s="188"/>
      <c r="AA181" s="198"/>
      <c r="AB181" s="77"/>
      <c r="AC181" s="77"/>
      <c r="AD181" s="77"/>
      <c r="AE181" s="77"/>
    </row>
    <row r="182" spans="1:31" x14ac:dyDescent="0.25">
      <c r="A182" s="19">
        <v>44851</v>
      </c>
      <c r="B182" s="4"/>
      <c r="C182" s="2"/>
      <c r="D182" s="4"/>
      <c r="E182" s="2"/>
      <c r="F182" s="42"/>
      <c r="G182" s="43"/>
      <c r="H182" s="58"/>
      <c r="I182" s="42"/>
      <c r="J182" s="115"/>
      <c r="K182" s="44"/>
      <c r="L182" s="170"/>
      <c r="M182" s="172"/>
      <c r="N182" s="175"/>
      <c r="O182" s="170"/>
      <c r="P182" s="172"/>
      <c r="Q182" s="175"/>
      <c r="R182" s="158"/>
      <c r="S182" s="161"/>
      <c r="T182" s="176"/>
      <c r="U182" s="158"/>
      <c r="V182" s="161"/>
      <c r="W182" s="164"/>
      <c r="X182" s="140"/>
      <c r="Y182" s="140"/>
      <c r="Z182" s="188"/>
      <c r="AA182" s="198"/>
      <c r="AB182" s="77"/>
      <c r="AC182" s="77"/>
      <c r="AD182" s="77"/>
      <c r="AE182" s="77"/>
    </row>
    <row r="183" spans="1:31" x14ac:dyDescent="0.25">
      <c r="A183" s="15">
        <v>44852</v>
      </c>
      <c r="B183" s="9"/>
      <c r="C183" s="8"/>
      <c r="D183" s="9"/>
      <c r="E183" s="8"/>
      <c r="F183" s="33">
        <f>IF(COUNTIF(B183:E183,0)=4,0,IF(COUNTIF(B183:E183,0)=2,$AD$3,$AC$3))</f>
        <v>0.30833333333333335</v>
      </c>
      <c r="G183" s="34">
        <f>IF(COUNTIF(B183:E183,0)=4,0,IF(COUNTIF(B183:E183,0)=2,$AD$7,$AC$7))</f>
        <v>1.6666666666666666E-2</v>
      </c>
      <c r="H183" s="60">
        <f t="shared" si="97"/>
        <v>0.32500000000000001</v>
      </c>
      <c r="I183" s="33">
        <f t="shared" si="98"/>
        <v>0.30833333333333335</v>
      </c>
      <c r="J183" s="112">
        <f t="shared" si="133"/>
        <v>0</v>
      </c>
      <c r="K183" s="24">
        <f>((C183-B183)+(E183-D183))</f>
        <v>0</v>
      </c>
      <c r="L183" s="157">
        <f t="shared" ref="L183:M183" si="134">SUM(F183:F189)</f>
        <v>1.5416666666666667</v>
      </c>
      <c r="M183" s="160">
        <f t="shared" si="134"/>
        <v>8.3333333333333329E-2</v>
      </c>
      <c r="N183" s="173">
        <f t="shared" ref="N183" si="135">L183+M183</f>
        <v>1.625</v>
      </c>
      <c r="O183" s="157">
        <f t="shared" ref="O183:P183" si="136">SUM(I183:I189)</f>
        <v>1.5416666666666667</v>
      </c>
      <c r="P183" s="160">
        <f t="shared" si="136"/>
        <v>0</v>
      </c>
      <c r="Q183" s="173">
        <f t="shared" ref="Q183" si="137">O183+P183</f>
        <v>1.5416666666666667</v>
      </c>
      <c r="R183" s="158"/>
      <c r="S183" s="161"/>
      <c r="T183" s="176"/>
      <c r="U183" s="158"/>
      <c r="V183" s="161"/>
      <c r="W183" s="164"/>
      <c r="X183" s="140">
        <f t="shared" ref="X183" si="138">(SUM(G183:G189)*24)*($AC$14+$AC$14*$AD$14)</f>
        <v>66.207250000000002</v>
      </c>
      <c r="Y183" s="140">
        <f t="shared" ref="Y183" si="139">(SUM(J183:J189)*24)*($AC$14+$AC$14*$AD$14)</f>
        <v>0</v>
      </c>
      <c r="Z183" s="188"/>
      <c r="AA183" s="198"/>
      <c r="AB183" s="77"/>
      <c r="AC183" s="77"/>
      <c r="AD183" s="77"/>
      <c r="AE183" s="77"/>
    </row>
    <row r="184" spans="1:31" x14ac:dyDescent="0.25">
      <c r="A184" s="16">
        <v>44853</v>
      </c>
      <c r="B184" s="12"/>
      <c r="C184" s="11"/>
      <c r="D184" s="12"/>
      <c r="E184" s="11"/>
      <c r="F184" s="35">
        <f>IF(COUNTIF(B184:E184,0)=4,0,IF(COUNTIF(B184:E184,0)=2,$AD$3,$AC$3))</f>
        <v>0.30833333333333335</v>
      </c>
      <c r="G184" s="36">
        <f>IF(COUNTIF(B184:E184,0)=4,0,IF(COUNTIF(B184:E184,0)=2,$AD$7,$AC$7))</f>
        <v>1.6666666666666666E-2</v>
      </c>
      <c r="H184" s="61">
        <f t="shared" si="97"/>
        <v>0.32500000000000001</v>
      </c>
      <c r="I184" s="35">
        <f t="shared" si="98"/>
        <v>0.30833333333333335</v>
      </c>
      <c r="J184" s="112">
        <f t="shared" si="133"/>
        <v>0</v>
      </c>
      <c r="K184" s="25">
        <f>((C184-B184)+(E184-D184))</f>
        <v>0</v>
      </c>
      <c r="L184" s="169"/>
      <c r="M184" s="171"/>
      <c r="N184" s="174"/>
      <c r="O184" s="169"/>
      <c r="P184" s="171"/>
      <c r="Q184" s="174"/>
      <c r="R184" s="158"/>
      <c r="S184" s="161"/>
      <c r="T184" s="176"/>
      <c r="U184" s="158"/>
      <c r="V184" s="161"/>
      <c r="W184" s="164"/>
      <c r="X184" s="140"/>
      <c r="Y184" s="140"/>
      <c r="Z184" s="188"/>
      <c r="AA184" s="198"/>
      <c r="AB184" s="77"/>
      <c r="AC184" s="77"/>
      <c r="AD184" s="77"/>
      <c r="AE184" s="77"/>
    </row>
    <row r="185" spans="1:31" x14ac:dyDescent="0.25">
      <c r="A185" s="16">
        <v>44854</v>
      </c>
      <c r="B185" s="12"/>
      <c r="C185" s="11"/>
      <c r="D185" s="12"/>
      <c r="E185" s="11"/>
      <c r="F185" s="35">
        <f>IF(COUNTIF(B185:E185,0)=4,0,IF(COUNTIF(B185:E185,0)=2,$AD$3,$AC$3))</f>
        <v>0.30833333333333335</v>
      </c>
      <c r="G185" s="36">
        <f>IF(COUNTIF(B185:E185,0)=4,0,IF(COUNTIF(B185:E185,0)=2,$AD$7,$AC$7))</f>
        <v>1.6666666666666666E-2</v>
      </c>
      <c r="H185" s="61">
        <f t="shared" si="97"/>
        <v>0.32500000000000001</v>
      </c>
      <c r="I185" s="35">
        <f t="shared" si="98"/>
        <v>0.30833333333333335</v>
      </c>
      <c r="J185" s="112">
        <f t="shared" si="133"/>
        <v>0</v>
      </c>
      <c r="K185" s="25">
        <f>((C185-B185)+(E185-D185))</f>
        <v>0</v>
      </c>
      <c r="L185" s="169"/>
      <c r="M185" s="171"/>
      <c r="N185" s="174"/>
      <c r="O185" s="169"/>
      <c r="P185" s="171"/>
      <c r="Q185" s="174"/>
      <c r="R185" s="158"/>
      <c r="S185" s="161"/>
      <c r="T185" s="176"/>
      <c r="U185" s="158"/>
      <c r="V185" s="161"/>
      <c r="W185" s="164"/>
      <c r="X185" s="140"/>
      <c r="Y185" s="140"/>
      <c r="Z185" s="188"/>
      <c r="AA185" s="198"/>
      <c r="AB185" s="77"/>
      <c r="AC185" s="77"/>
      <c r="AD185" s="77"/>
      <c r="AE185" s="77"/>
    </row>
    <row r="186" spans="1:31" x14ac:dyDescent="0.25">
      <c r="A186" s="16">
        <v>44855</v>
      </c>
      <c r="B186" s="12"/>
      <c r="C186" s="11"/>
      <c r="D186" s="12"/>
      <c r="E186" s="11"/>
      <c r="F186" s="35">
        <f>IF(COUNTIF(B186:E186,0)=4,0,IF(COUNTIF(B186:E186,0)=2,$AD$3,$AC$3))</f>
        <v>0.30833333333333335</v>
      </c>
      <c r="G186" s="36">
        <f>IF(COUNTIF(B186:E186,0)=4,0,IF(COUNTIF(B186:E186,0)=2,$AD$7,$AC$7))</f>
        <v>1.6666666666666666E-2</v>
      </c>
      <c r="H186" s="61">
        <f t="shared" si="97"/>
        <v>0.32500000000000001</v>
      </c>
      <c r="I186" s="35">
        <f t="shared" si="98"/>
        <v>0.30833333333333335</v>
      </c>
      <c r="J186" s="112">
        <f t="shared" si="133"/>
        <v>0</v>
      </c>
      <c r="K186" s="25">
        <f>((C186-B186)+(E186-D186))</f>
        <v>0</v>
      </c>
      <c r="L186" s="169"/>
      <c r="M186" s="171"/>
      <c r="N186" s="174"/>
      <c r="O186" s="169"/>
      <c r="P186" s="171"/>
      <c r="Q186" s="174"/>
      <c r="R186" s="158"/>
      <c r="S186" s="161"/>
      <c r="T186" s="176"/>
      <c r="U186" s="158"/>
      <c r="V186" s="161"/>
      <c r="W186" s="164"/>
      <c r="X186" s="140"/>
      <c r="Y186" s="140"/>
      <c r="Z186" s="188"/>
      <c r="AA186" s="198"/>
      <c r="AB186" s="77"/>
      <c r="AC186" s="77"/>
      <c r="AD186" s="77"/>
      <c r="AE186" s="77"/>
    </row>
    <row r="187" spans="1:31" x14ac:dyDescent="0.25">
      <c r="A187" s="16">
        <v>44856</v>
      </c>
      <c r="B187" s="12"/>
      <c r="C187" s="11"/>
      <c r="D187" s="12"/>
      <c r="E187" s="11"/>
      <c r="F187" s="47">
        <f>IF(COUNTIF(B187:E187,0)=4,0,IF(COUNTIF(B187:E187,0)=2,$AD$3,$AC$3))</f>
        <v>0.30833333333333335</v>
      </c>
      <c r="G187" s="48">
        <f>IF(COUNTIF(B187:E187,0)=4,0,IF(COUNTIF(B187:E187,0)=2,$AD$7,$AC$7))</f>
        <v>1.6666666666666666E-2</v>
      </c>
      <c r="H187" s="62">
        <f t="shared" si="97"/>
        <v>0.32500000000000001</v>
      </c>
      <c r="I187" s="47">
        <f t="shared" si="98"/>
        <v>0.30833333333333335</v>
      </c>
      <c r="J187" s="112">
        <f t="shared" si="133"/>
        <v>0</v>
      </c>
      <c r="K187" s="49">
        <f>((C187-B187)+(E187-D187))</f>
        <v>0</v>
      </c>
      <c r="L187" s="169"/>
      <c r="M187" s="171"/>
      <c r="N187" s="174"/>
      <c r="O187" s="169"/>
      <c r="P187" s="171"/>
      <c r="Q187" s="174"/>
      <c r="R187" s="158"/>
      <c r="S187" s="161"/>
      <c r="T187" s="176"/>
      <c r="U187" s="158"/>
      <c r="V187" s="161"/>
      <c r="W187" s="164"/>
      <c r="X187" s="140"/>
      <c r="Y187" s="140"/>
      <c r="Z187" s="188"/>
      <c r="AA187" s="198"/>
      <c r="AB187" s="77"/>
      <c r="AC187" s="77"/>
      <c r="AD187" s="77"/>
      <c r="AE187" s="77"/>
    </row>
    <row r="188" spans="1:31" x14ac:dyDescent="0.25">
      <c r="A188" s="18">
        <v>44857</v>
      </c>
      <c r="B188" s="3"/>
      <c r="C188" s="1"/>
      <c r="D188" s="3"/>
      <c r="E188" s="1"/>
      <c r="F188" s="39"/>
      <c r="G188" s="40"/>
      <c r="H188" s="57"/>
      <c r="I188" s="39"/>
      <c r="J188" s="114"/>
      <c r="K188" s="41"/>
      <c r="L188" s="169"/>
      <c r="M188" s="171"/>
      <c r="N188" s="174"/>
      <c r="O188" s="169"/>
      <c r="P188" s="171"/>
      <c r="Q188" s="174"/>
      <c r="R188" s="158"/>
      <c r="S188" s="161"/>
      <c r="T188" s="176"/>
      <c r="U188" s="158"/>
      <c r="V188" s="161"/>
      <c r="W188" s="164"/>
      <c r="X188" s="140"/>
      <c r="Y188" s="140"/>
      <c r="Z188" s="188"/>
      <c r="AA188" s="198"/>
      <c r="AB188" s="77"/>
      <c r="AC188" s="77"/>
      <c r="AD188" s="77"/>
      <c r="AE188" s="77"/>
    </row>
    <row r="189" spans="1:31" x14ac:dyDescent="0.25">
      <c r="A189" s="19">
        <v>44858</v>
      </c>
      <c r="B189" s="4"/>
      <c r="C189" s="2"/>
      <c r="D189" s="4"/>
      <c r="E189" s="2"/>
      <c r="F189" s="42"/>
      <c r="G189" s="43"/>
      <c r="H189" s="58"/>
      <c r="I189" s="42"/>
      <c r="J189" s="115"/>
      <c r="K189" s="44"/>
      <c r="L189" s="170"/>
      <c r="M189" s="172"/>
      <c r="N189" s="175"/>
      <c r="O189" s="170"/>
      <c r="P189" s="172"/>
      <c r="Q189" s="175"/>
      <c r="R189" s="158"/>
      <c r="S189" s="161"/>
      <c r="T189" s="176"/>
      <c r="U189" s="158"/>
      <c r="V189" s="161"/>
      <c r="W189" s="164"/>
      <c r="X189" s="140"/>
      <c r="Y189" s="140"/>
      <c r="Z189" s="188"/>
      <c r="AA189" s="198"/>
      <c r="AB189" s="77"/>
      <c r="AC189" s="77"/>
      <c r="AD189" s="77"/>
      <c r="AE189" s="77"/>
    </row>
    <row r="190" spans="1:31" x14ac:dyDescent="0.25">
      <c r="A190" s="15">
        <v>44859</v>
      </c>
      <c r="B190" s="9"/>
      <c r="C190" s="8"/>
      <c r="D190" s="9"/>
      <c r="E190" s="8"/>
      <c r="F190" s="33">
        <f>IF(COUNTIF(B190:E190,0)=4,0,IF(COUNTIF(B190:E190,0)=2,$AD$3,$AC$3))</f>
        <v>0.30833333333333335</v>
      </c>
      <c r="G190" s="34">
        <f>IF(COUNTIF(B190:E190,0)=4,0,IF(COUNTIF(B190:E190,0)=2,$AD$7,$AC$7))</f>
        <v>1.6666666666666666E-2</v>
      </c>
      <c r="H190" s="60">
        <f t="shared" si="97"/>
        <v>0.32500000000000001</v>
      </c>
      <c r="I190" s="33">
        <f t="shared" si="98"/>
        <v>0.30833333333333335</v>
      </c>
      <c r="J190" s="112">
        <f t="shared" si="133"/>
        <v>0</v>
      </c>
      <c r="K190" s="24">
        <f>((C190-B190)+(E190-D190))</f>
        <v>0</v>
      </c>
      <c r="L190" s="157">
        <f t="shared" ref="L190:M190" si="140">SUM(F190:F196)</f>
        <v>1.5416666666666667</v>
      </c>
      <c r="M190" s="160">
        <f t="shared" si="140"/>
        <v>8.3333333333333329E-2</v>
      </c>
      <c r="N190" s="173">
        <f t="shared" ref="N190" si="141">L190+M190</f>
        <v>1.625</v>
      </c>
      <c r="O190" s="157">
        <f t="shared" ref="O190:P190" si="142">SUM(I190:I196)</f>
        <v>1.5416666666666667</v>
      </c>
      <c r="P190" s="160">
        <f t="shared" si="142"/>
        <v>0</v>
      </c>
      <c r="Q190" s="173">
        <f t="shared" ref="Q190" si="143">O190+P190</f>
        <v>1.5416666666666667</v>
      </c>
      <c r="R190" s="158"/>
      <c r="S190" s="161"/>
      <c r="T190" s="176"/>
      <c r="U190" s="158"/>
      <c r="V190" s="161"/>
      <c r="W190" s="164"/>
      <c r="X190" s="140">
        <f>(SUM(G190:G195)*24)*($AC$14+$AC$14*$AD$14)</f>
        <v>66.207250000000002</v>
      </c>
      <c r="Y190" s="140">
        <f>(SUM(J190:J195)*24)*($AC$14+$AC$14*$AD$14)</f>
        <v>0</v>
      </c>
      <c r="Z190" s="188"/>
      <c r="AA190" s="198"/>
      <c r="AB190" s="77"/>
      <c r="AC190" s="77"/>
      <c r="AD190" s="77"/>
      <c r="AE190" s="77"/>
    </row>
    <row r="191" spans="1:31" x14ac:dyDescent="0.25">
      <c r="A191" s="16">
        <v>44860</v>
      </c>
      <c r="B191" s="12"/>
      <c r="C191" s="11"/>
      <c r="D191" s="12"/>
      <c r="E191" s="11"/>
      <c r="F191" s="35">
        <f>IF(COUNTIF(B191:E191,0)=4,0,IF(COUNTIF(B191:E191,0)=2,$AD$3,$AC$3))</f>
        <v>0.30833333333333335</v>
      </c>
      <c r="G191" s="36">
        <f>IF(COUNTIF(B191:E191,0)=4,0,IF(COUNTIF(B191:E191,0)=2,$AD$7,$AC$7))</f>
        <v>1.6666666666666666E-2</v>
      </c>
      <c r="H191" s="61">
        <f t="shared" si="97"/>
        <v>0.32500000000000001</v>
      </c>
      <c r="I191" s="35">
        <f t="shared" si="98"/>
        <v>0.30833333333333335</v>
      </c>
      <c r="J191" s="112">
        <f t="shared" si="133"/>
        <v>0</v>
      </c>
      <c r="K191" s="25">
        <f>((C191-B191)+(E191-D191))</f>
        <v>0</v>
      </c>
      <c r="L191" s="169"/>
      <c r="M191" s="171"/>
      <c r="N191" s="174"/>
      <c r="O191" s="169"/>
      <c r="P191" s="171"/>
      <c r="Q191" s="174"/>
      <c r="R191" s="158"/>
      <c r="S191" s="161"/>
      <c r="T191" s="176"/>
      <c r="U191" s="158"/>
      <c r="V191" s="161"/>
      <c r="W191" s="164"/>
      <c r="X191" s="140"/>
      <c r="Y191" s="140"/>
      <c r="Z191" s="188"/>
      <c r="AA191" s="198"/>
      <c r="AB191" s="77"/>
      <c r="AC191" s="77"/>
      <c r="AD191" s="77"/>
      <c r="AE191" s="77"/>
    </row>
    <row r="192" spans="1:31" x14ac:dyDescent="0.25">
      <c r="A192" s="16">
        <v>44861</v>
      </c>
      <c r="B192" s="12"/>
      <c r="C192" s="11"/>
      <c r="D192" s="12"/>
      <c r="E192" s="11"/>
      <c r="F192" s="35">
        <f>IF(COUNTIF(B192:E192,0)=4,0,IF(COUNTIF(B192:E192,0)=2,$AD$3,$AC$3))</f>
        <v>0.30833333333333335</v>
      </c>
      <c r="G192" s="36">
        <f>IF(COUNTIF(B192:E192,0)=4,0,IF(COUNTIF(B192:E192,0)=2,$AD$7,$AC$7))</f>
        <v>1.6666666666666666E-2</v>
      </c>
      <c r="H192" s="61">
        <f t="shared" si="97"/>
        <v>0.32500000000000001</v>
      </c>
      <c r="I192" s="35">
        <f t="shared" si="98"/>
        <v>0.30833333333333335</v>
      </c>
      <c r="J192" s="112">
        <f t="shared" si="133"/>
        <v>0</v>
      </c>
      <c r="K192" s="25">
        <f>((C192-B192)+(E192-D192))</f>
        <v>0</v>
      </c>
      <c r="L192" s="169"/>
      <c r="M192" s="171"/>
      <c r="N192" s="174"/>
      <c r="O192" s="169"/>
      <c r="P192" s="171"/>
      <c r="Q192" s="174"/>
      <c r="R192" s="158"/>
      <c r="S192" s="161"/>
      <c r="T192" s="176"/>
      <c r="U192" s="158"/>
      <c r="V192" s="161"/>
      <c r="W192" s="164"/>
      <c r="X192" s="140"/>
      <c r="Y192" s="140"/>
      <c r="Z192" s="188"/>
      <c r="AA192" s="198"/>
      <c r="AB192" s="77"/>
      <c r="AC192" s="77"/>
      <c r="AD192" s="77"/>
      <c r="AE192" s="77"/>
    </row>
    <row r="193" spans="1:31" x14ac:dyDescent="0.25">
      <c r="A193" s="16">
        <v>44862</v>
      </c>
      <c r="B193" s="12"/>
      <c r="C193" s="11"/>
      <c r="D193" s="12"/>
      <c r="E193" s="11"/>
      <c r="F193" s="35">
        <f>IF(COUNTIF(B193:E193,0)=4,0,IF(COUNTIF(B193:E193,0)=2,$AD$3,$AC$3))</f>
        <v>0.30833333333333335</v>
      </c>
      <c r="G193" s="36">
        <f>IF(COUNTIF(B193:E193,0)=4,0,IF(COUNTIF(B193:E193,0)=2,$AD$7,$AC$7))</f>
        <v>1.6666666666666666E-2</v>
      </c>
      <c r="H193" s="61">
        <f t="shared" si="97"/>
        <v>0.32500000000000001</v>
      </c>
      <c r="I193" s="35">
        <f t="shared" si="98"/>
        <v>0.30833333333333335</v>
      </c>
      <c r="J193" s="112">
        <f t="shared" si="133"/>
        <v>0</v>
      </c>
      <c r="K193" s="25">
        <f>((C193-B193)+(E193-D193))</f>
        <v>0</v>
      </c>
      <c r="L193" s="169"/>
      <c r="M193" s="171"/>
      <c r="N193" s="174"/>
      <c r="O193" s="169"/>
      <c r="P193" s="171"/>
      <c r="Q193" s="174"/>
      <c r="R193" s="158"/>
      <c r="S193" s="161"/>
      <c r="T193" s="176"/>
      <c r="U193" s="158"/>
      <c r="V193" s="161"/>
      <c r="W193" s="164"/>
      <c r="X193" s="140"/>
      <c r="Y193" s="140"/>
      <c r="Z193" s="188"/>
      <c r="AA193" s="198"/>
      <c r="AB193" s="77"/>
      <c r="AC193" s="77"/>
      <c r="AD193" s="77"/>
      <c r="AE193" s="77"/>
    </row>
    <row r="194" spans="1:31" x14ac:dyDescent="0.25">
      <c r="A194" s="16">
        <v>44863</v>
      </c>
      <c r="B194" s="12"/>
      <c r="C194" s="11"/>
      <c r="D194" s="12"/>
      <c r="E194" s="11"/>
      <c r="F194" s="47">
        <f>IF(COUNTIF(B194:E194,0)=4,0,IF(COUNTIF(B194:E194,0)=2,$AD$3,$AC$3))</f>
        <v>0.30833333333333335</v>
      </c>
      <c r="G194" s="48">
        <f>IF(COUNTIF(B194:E194,0)=4,0,IF(COUNTIF(B194:E194,0)=2,$AD$7,$AC$7))</f>
        <v>1.6666666666666666E-2</v>
      </c>
      <c r="H194" s="62">
        <f t="shared" si="97"/>
        <v>0.32500000000000001</v>
      </c>
      <c r="I194" s="47">
        <f t="shared" si="98"/>
        <v>0.30833333333333335</v>
      </c>
      <c r="J194" s="112">
        <f t="shared" si="133"/>
        <v>0</v>
      </c>
      <c r="K194" s="49">
        <f>((C194-B194)+(E194-D194))</f>
        <v>0</v>
      </c>
      <c r="L194" s="169"/>
      <c r="M194" s="171"/>
      <c r="N194" s="174"/>
      <c r="O194" s="169"/>
      <c r="P194" s="171"/>
      <c r="Q194" s="174"/>
      <c r="R194" s="158"/>
      <c r="S194" s="161"/>
      <c r="T194" s="176"/>
      <c r="U194" s="158"/>
      <c r="V194" s="161"/>
      <c r="W194" s="164"/>
      <c r="X194" s="140"/>
      <c r="Y194" s="140"/>
      <c r="Z194" s="188"/>
      <c r="AA194" s="198"/>
      <c r="AB194" s="77"/>
      <c r="AC194" s="77"/>
      <c r="AD194" s="77"/>
      <c r="AE194" s="77"/>
    </row>
    <row r="195" spans="1:31" x14ac:dyDescent="0.25">
      <c r="A195" s="18">
        <v>44864</v>
      </c>
      <c r="B195" s="3"/>
      <c r="C195" s="1"/>
      <c r="D195" s="3"/>
      <c r="E195" s="1"/>
      <c r="F195" s="39"/>
      <c r="G195" s="40"/>
      <c r="H195" s="57"/>
      <c r="I195" s="39"/>
      <c r="J195" s="114"/>
      <c r="K195" s="41"/>
      <c r="L195" s="169"/>
      <c r="M195" s="171"/>
      <c r="N195" s="174"/>
      <c r="O195" s="169"/>
      <c r="P195" s="171"/>
      <c r="Q195" s="174"/>
      <c r="R195" s="159"/>
      <c r="S195" s="162"/>
      <c r="T195" s="177"/>
      <c r="U195" s="159"/>
      <c r="V195" s="162"/>
      <c r="W195" s="165"/>
      <c r="X195" s="140"/>
      <c r="Y195" s="140"/>
      <c r="Z195" s="188"/>
      <c r="AA195" s="198"/>
      <c r="AB195" s="77"/>
      <c r="AC195" s="77"/>
      <c r="AD195" s="77"/>
      <c r="AE195" s="77"/>
    </row>
    <row r="196" spans="1:31" x14ac:dyDescent="0.25">
      <c r="A196" s="19">
        <v>44865</v>
      </c>
      <c r="B196" s="4"/>
      <c r="C196" s="2"/>
      <c r="D196" s="4"/>
      <c r="E196" s="2"/>
      <c r="F196" s="42"/>
      <c r="G196" s="43"/>
      <c r="H196" s="58"/>
      <c r="I196" s="42"/>
      <c r="J196" s="115"/>
      <c r="K196" s="44"/>
      <c r="L196" s="170"/>
      <c r="M196" s="172"/>
      <c r="N196" s="175"/>
      <c r="O196" s="170"/>
      <c r="P196" s="172"/>
      <c r="Q196" s="175"/>
      <c r="R196" s="157">
        <f>SUM(F196:F225)</f>
        <v>6.1666666666666696</v>
      </c>
      <c r="S196" s="185">
        <f>SUM(G196:G225)</f>
        <v>0.33333333333333331</v>
      </c>
      <c r="T196" s="173">
        <f>R196+S196</f>
        <v>6.5000000000000027</v>
      </c>
      <c r="U196" s="157">
        <f>SUM(I196:I225)</f>
        <v>6.1666666666666696</v>
      </c>
      <c r="V196" s="160">
        <f>SUM(J196:J225)</f>
        <v>0</v>
      </c>
      <c r="W196" s="173">
        <f>U196+V196</f>
        <v>6.1666666666666696</v>
      </c>
      <c r="X196" s="78">
        <v>0</v>
      </c>
      <c r="Y196" s="78">
        <v>0</v>
      </c>
      <c r="Z196" s="188"/>
      <c r="AA196" s="198"/>
      <c r="AB196" s="77"/>
      <c r="AC196" s="77"/>
      <c r="AD196" s="77"/>
      <c r="AE196" s="77"/>
    </row>
    <row r="197" spans="1:31" x14ac:dyDescent="0.25">
      <c r="A197" s="15">
        <v>44866</v>
      </c>
      <c r="B197" s="9"/>
      <c r="C197" s="8"/>
      <c r="D197" s="9"/>
      <c r="E197" s="8"/>
      <c r="F197" s="33">
        <f>IF(COUNTIF(B197:E197,0)=4,0,IF(COUNTIF(B197:E197,0)=2,$AD$3,$AC$3))</f>
        <v>0.30833333333333335</v>
      </c>
      <c r="G197" s="34">
        <f>IF(COUNTIF(B197:E197,0)=4,0,IF(COUNTIF(B197:E197,0)=2,$AD$7,$AC$7))</f>
        <v>1.6666666666666666E-2</v>
      </c>
      <c r="H197" s="60">
        <f t="shared" ref="H197:H256" si="144">SUM(F197:G197)</f>
        <v>0.32500000000000001</v>
      </c>
      <c r="I197" s="33">
        <f t="shared" ref="I197:I256" si="145">F197</f>
        <v>0.30833333333333335</v>
      </c>
      <c r="J197" s="112">
        <f t="shared" si="133"/>
        <v>0</v>
      </c>
      <c r="K197" s="24">
        <f>((C197-B197)+(E197-D197))</f>
        <v>0</v>
      </c>
      <c r="L197" s="157">
        <f t="shared" ref="L197:M197" si="146">SUM(F197:F203)</f>
        <v>1.5416666666666667</v>
      </c>
      <c r="M197" s="160">
        <f t="shared" si="146"/>
        <v>8.3333333333333329E-2</v>
      </c>
      <c r="N197" s="173">
        <f t="shared" ref="N197" si="147">L197+M197</f>
        <v>1.625</v>
      </c>
      <c r="O197" s="157">
        <f t="shared" ref="O197:P197" si="148">SUM(I197:I203)</f>
        <v>1.5416666666666667</v>
      </c>
      <c r="P197" s="160">
        <f t="shared" si="148"/>
        <v>0</v>
      </c>
      <c r="Q197" s="173">
        <f t="shared" ref="Q197" si="149">O197+P197</f>
        <v>1.5416666666666667</v>
      </c>
      <c r="R197" s="158"/>
      <c r="S197" s="186"/>
      <c r="T197" s="176"/>
      <c r="U197" s="158"/>
      <c r="V197" s="171"/>
      <c r="W197" s="174"/>
      <c r="X197" s="140">
        <f>(SUM(G197:G203)*24)*($AC$14+$AC$14*$AD$14)</f>
        <v>66.207250000000002</v>
      </c>
      <c r="Y197" s="140">
        <f>(SUM(J197:J203)*24)*($AC$14+$AC$14*$AD$14)</f>
        <v>0</v>
      </c>
      <c r="Z197" s="188"/>
      <c r="AA197" s="198"/>
      <c r="AB197" s="77"/>
      <c r="AC197" s="77"/>
      <c r="AD197" s="77"/>
      <c r="AE197" s="77"/>
    </row>
    <row r="198" spans="1:31" x14ac:dyDescent="0.25">
      <c r="A198" s="16">
        <v>44867</v>
      </c>
      <c r="B198" s="12"/>
      <c r="C198" s="11"/>
      <c r="D198" s="12"/>
      <c r="E198" s="11"/>
      <c r="F198" s="35">
        <f>IF(COUNTIF(B198:E198,0)=4,0,IF(COUNTIF(B198:E198,0)=2,$AD$3,$AC$3))</f>
        <v>0.30833333333333335</v>
      </c>
      <c r="G198" s="36">
        <f>IF(COUNTIF(B198:E198,0)=4,0,IF(COUNTIF(B198:E198,0)=2,$AD$7,$AC$7))</f>
        <v>1.6666666666666666E-2</v>
      </c>
      <c r="H198" s="61">
        <f t="shared" si="144"/>
        <v>0.32500000000000001</v>
      </c>
      <c r="I198" s="35">
        <f t="shared" si="145"/>
        <v>0.30833333333333335</v>
      </c>
      <c r="J198" s="112">
        <f t="shared" si="133"/>
        <v>0</v>
      </c>
      <c r="K198" s="25">
        <f>((C198-B198)+(E198-D198))</f>
        <v>0</v>
      </c>
      <c r="L198" s="169"/>
      <c r="M198" s="171"/>
      <c r="N198" s="174"/>
      <c r="O198" s="169"/>
      <c r="P198" s="171"/>
      <c r="Q198" s="174"/>
      <c r="R198" s="158"/>
      <c r="S198" s="186"/>
      <c r="T198" s="176"/>
      <c r="U198" s="158"/>
      <c r="V198" s="171"/>
      <c r="W198" s="174"/>
      <c r="X198" s="140"/>
      <c r="Y198" s="140"/>
      <c r="Z198" s="188"/>
      <c r="AA198" s="198"/>
      <c r="AB198" s="77"/>
      <c r="AC198" s="77"/>
      <c r="AD198" s="77"/>
      <c r="AE198" s="77"/>
    </row>
    <row r="199" spans="1:31" x14ac:dyDescent="0.25">
      <c r="A199" s="16">
        <v>44868</v>
      </c>
      <c r="B199" s="12"/>
      <c r="C199" s="11"/>
      <c r="D199" s="12"/>
      <c r="E199" s="11"/>
      <c r="F199" s="35">
        <f>IF(COUNTIF(B199:E199,0)=4,0,IF(COUNTIF(B199:E199,0)=2,$AD$3,$AC$3))</f>
        <v>0.30833333333333335</v>
      </c>
      <c r="G199" s="36">
        <f>IF(COUNTIF(B199:E199,0)=4,0,IF(COUNTIF(B199:E199,0)=2,$AD$7,$AC$7))</f>
        <v>1.6666666666666666E-2</v>
      </c>
      <c r="H199" s="61">
        <f t="shared" si="144"/>
        <v>0.32500000000000001</v>
      </c>
      <c r="I199" s="35">
        <f t="shared" si="145"/>
        <v>0.30833333333333335</v>
      </c>
      <c r="J199" s="112">
        <f t="shared" si="133"/>
        <v>0</v>
      </c>
      <c r="K199" s="25">
        <f>((C199-B199)+(E199-D199))</f>
        <v>0</v>
      </c>
      <c r="L199" s="169"/>
      <c r="M199" s="171"/>
      <c r="N199" s="174"/>
      <c r="O199" s="169"/>
      <c r="P199" s="171"/>
      <c r="Q199" s="174"/>
      <c r="R199" s="158"/>
      <c r="S199" s="186"/>
      <c r="T199" s="176"/>
      <c r="U199" s="158"/>
      <c r="V199" s="171"/>
      <c r="W199" s="174"/>
      <c r="X199" s="140"/>
      <c r="Y199" s="140"/>
      <c r="Z199" s="188"/>
      <c r="AA199" s="198"/>
      <c r="AB199" s="77"/>
      <c r="AC199" s="77"/>
      <c r="AD199" s="77"/>
      <c r="AE199" s="77"/>
    </row>
    <row r="200" spans="1:31" x14ac:dyDescent="0.25">
      <c r="A200" s="16">
        <v>44869</v>
      </c>
      <c r="B200" s="12"/>
      <c r="C200" s="11"/>
      <c r="D200" s="12"/>
      <c r="E200" s="11"/>
      <c r="F200" s="35">
        <f>IF(COUNTIF(B200:E200,0)=4,0,IF(COUNTIF(B200:E200,0)=2,$AD$3,$AC$3))</f>
        <v>0.30833333333333335</v>
      </c>
      <c r="G200" s="36">
        <f>IF(COUNTIF(B200:E200,0)=4,0,IF(COUNTIF(B200:E200,0)=2,$AD$7,$AC$7))</f>
        <v>1.6666666666666666E-2</v>
      </c>
      <c r="H200" s="61">
        <f t="shared" si="144"/>
        <v>0.32500000000000001</v>
      </c>
      <c r="I200" s="35">
        <f t="shared" si="145"/>
        <v>0.30833333333333335</v>
      </c>
      <c r="J200" s="112">
        <f t="shared" si="133"/>
        <v>0</v>
      </c>
      <c r="K200" s="25">
        <f>((C200-B200)+(E200-D200))</f>
        <v>0</v>
      </c>
      <c r="L200" s="169"/>
      <c r="M200" s="171"/>
      <c r="N200" s="174"/>
      <c r="O200" s="169"/>
      <c r="P200" s="171"/>
      <c r="Q200" s="174"/>
      <c r="R200" s="158"/>
      <c r="S200" s="186"/>
      <c r="T200" s="176"/>
      <c r="U200" s="158"/>
      <c r="V200" s="171"/>
      <c r="W200" s="174"/>
      <c r="X200" s="140"/>
      <c r="Y200" s="140"/>
      <c r="Z200" s="188"/>
      <c r="AA200" s="198"/>
      <c r="AB200" s="77"/>
      <c r="AC200" s="77"/>
      <c r="AD200" s="77"/>
      <c r="AE200" s="77"/>
    </row>
    <row r="201" spans="1:31" x14ac:dyDescent="0.25">
      <c r="A201" s="16">
        <v>44870</v>
      </c>
      <c r="B201" s="12"/>
      <c r="C201" s="11"/>
      <c r="D201" s="12"/>
      <c r="E201" s="11"/>
      <c r="F201" s="47">
        <f>IF(COUNTIF(B201:E201,0)=4,0,IF(COUNTIF(B201:E201,0)=2,$AD$3,$AC$3))</f>
        <v>0.30833333333333335</v>
      </c>
      <c r="G201" s="48">
        <f>IF(COUNTIF(B201:E201,0)=4,0,IF(COUNTIF(B201:E201,0)=2,$AD$7,$AC$7))</f>
        <v>1.6666666666666666E-2</v>
      </c>
      <c r="H201" s="62">
        <f t="shared" si="144"/>
        <v>0.32500000000000001</v>
      </c>
      <c r="I201" s="47">
        <f t="shared" si="145"/>
        <v>0.30833333333333335</v>
      </c>
      <c r="J201" s="112">
        <f t="shared" si="133"/>
        <v>0</v>
      </c>
      <c r="K201" s="49">
        <f>((C201-B201)+(E201-D201))</f>
        <v>0</v>
      </c>
      <c r="L201" s="169"/>
      <c r="M201" s="171"/>
      <c r="N201" s="174"/>
      <c r="O201" s="169"/>
      <c r="P201" s="171"/>
      <c r="Q201" s="174"/>
      <c r="R201" s="158"/>
      <c r="S201" s="186"/>
      <c r="T201" s="176"/>
      <c r="U201" s="158"/>
      <c r="V201" s="171"/>
      <c r="W201" s="174"/>
      <c r="X201" s="140"/>
      <c r="Y201" s="140"/>
      <c r="Z201" s="188"/>
      <c r="AA201" s="198"/>
      <c r="AB201" s="77"/>
      <c r="AC201" s="77"/>
      <c r="AD201" s="77"/>
      <c r="AE201" s="77"/>
    </row>
    <row r="202" spans="1:31" x14ac:dyDescent="0.25">
      <c r="A202" s="18">
        <v>44871</v>
      </c>
      <c r="B202" s="3"/>
      <c r="C202" s="1"/>
      <c r="D202" s="3"/>
      <c r="E202" s="1"/>
      <c r="F202" s="39"/>
      <c r="G202" s="40"/>
      <c r="H202" s="57"/>
      <c r="I202" s="39"/>
      <c r="J202" s="114"/>
      <c r="K202" s="41"/>
      <c r="L202" s="169"/>
      <c r="M202" s="171"/>
      <c r="N202" s="174"/>
      <c r="O202" s="169"/>
      <c r="P202" s="171"/>
      <c r="Q202" s="174"/>
      <c r="R202" s="158"/>
      <c r="S202" s="186"/>
      <c r="T202" s="176"/>
      <c r="U202" s="158"/>
      <c r="V202" s="171"/>
      <c r="W202" s="174"/>
      <c r="X202" s="140"/>
      <c r="Y202" s="140"/>
      <c r="Z202" s="188"/>
      <c r="AA202" s="198"/>
      <c r="AB202" s="77"/>
      <c r="AC202" s="77"/>
      <c r="AD202" s="77"/>
      <c r="AE202" s="77"/>
    </row>
    <row r="203" spans="1:31" x14ac:dyDescent="0.25">
      <c r="A203" s="19">
        <v>44872</v>
      </c>
      <c r="B203" s="4"/>
      <c r="C203" s="2"/>
      <c r="D203" s="4"/>
      <c r="E203" s="2"/>
      <c r="F203" s="42"/>
      <c r="G203" s="43"/>
      <c r="H203" s="58"/>
      <c r="I203" s="42"/>
      <c r="J203" s="115"/>
      <c r="K203" s="44"/>
      <c r="L203" s="170"/>
      <c r="M203" s="172"/>
      <c r="N203" s="175"/>
      <c r="O203" s="170"/>
      <c r="P203" s="172"/>
      <c r="Q203" s="175"/>
      <c r="R203" s="158"/>
      <c r="S203" s="186"/>
      <c r="T203" s="176"/>
      <c r="U203" s="158"/>
      <c r="V203" s="171"/>
      <c r="W203" s="174"/>
      <c r="X203" s="140"/>
      <c r="Y203" s="140"/>
      <c r="Z203" s="188"/>
      <c r="AA203" s="198"/>
      <c r="AB203" s="77"/>
      <c r="AC203" s="77"/>
      <c r="AD203" s="77"/>
      <c r="AE203" s="77"/>
    </row>
    <row r="204" spans="1:31" x14ac:dyDescent="0.25">
      <c r="A204" s="15">
        <v>44873</v>
      </c>
      <c r="B204" s="9"/>
      <c r="C204" s="8"/>
      <c r="D204" s="9"/>
      <c r="E204" s="8"/>
      <c r="F204" s="33">
        <f>IF(COUNTIF(B204:E204,0)=4,0,IF(COUNTIF(B204:E204,0)=2,$AD$3,$AC$3))</f>
        <v>0.30833333333333335</v>
      </c>
      <c r="G204" s="34">
        <f>IF(COUNTIF(B204:E204,0)=4,0,IF(COUNTIF(B204:E204,0)=2,$AD$7,$AC$7))</f>
        <v>1.6666666666666666E-2</v>
      </c>
      <c r="H204" s="60">
        <f t="shared" si="144"/>
        <v>0.32500000000000001</v>
      </c>
      <c r="I204" s="33">
        <f t="shared" si="145"/>
        <v>0.30833333333333335</v>
      </c>
      <c r="J204" s="112">
        <f t="shared" si="133"/>
        <v>0</v>
      </c>
      <c r="K204" s="24">
        <f>((C204-B204)+(E204-D204))</f>
        <v>0</v>
      </c>
      <c r="L204" s="157">
        <f t="shared" ref="L204:M204" si="150">SUM(F204:F210)</f>
        <v>1.2333333333333334</v>
      </c>
      <c r="M204" s="160">
        <f t="shared" si="150"/>
        <v>6.6666666666666666E-2</v>
      </c>
      <c r="N204" s="173">
        <f t="shared" ref="N204" si="151">L204+M204</f>
        <v>1.3</v>
      </c>
      <c r="O204" s="157">
        <f t="shared" ref="O204:P204" si="152">SUM(I204:I210)</f>
        <v>1.2333333333333334</v>
      </c>
      <c r="P204" s="160">
        <f t="shared" si="152"/>
        <v>0</v>
      </c>
      <c r="Q204" s="173">
        <f t="shared" ref="Q204" si="153">O204+P204</f>
        <v>1.2333333333333334</v>
      </c>
      <c r="R204" s="158"/>
      <c r="S204" s="186"/>
      <c r="T204" s="176"/>
      <c r="U204" s="158"/>
      <c r="V204" s="171"/>
      <c r="W204" s="174"/>
      <c r="X204" s="140">
        <f t="shared" ref="X204" si="154">(SUM(G204:G210)*24)*($AC$14+$AC$14*$AD$14)</f>
        <v>52.965800000000002</v>
      </c>
      <c r="Y204" s="140">
        <f t="shared" ref="Y204" si="155">(SUM(J204:J210)*24)*($AC$14+$AC$14*$AD$14)</f>
        <v>0</v>
      </c>
      <c r="Z204" s="188"/>
      <c r="AA204" s="198"/>
      <c r="AB204" s="77"/>
      <c r="AC204" s="77"/>
      <c r="AD204" s="77"/>
      <c r="AE204" s="77"/>
    </row>
    <row r="205" spans="1:31" x14ac:dyDescent="0.25">
      <c r="A205" s="16">
        <v>44874</v>
      </c>
      <c r="B205" s="12"/>
      <c r="C205" s="11"/>
      <c r="D205" s="12"/>
      <c r="E205" s="11"/>
      <c r="F205" s="35">
        <f>IF(COUNTIF(B205:E205,0)=4,0,IF(COUNTIF(B205:E205,0)=2,$AD$3,$AC$3))</f>
        <v>0.30833333333333335</v>
      </c>
      <c r="G205" s="36">
        <f>IF(COUNTIF(B205:E205,0)=4,0,IF(COUNTIF(B205:E205,0)=2,$AD$7,$AC$7))</f>
        <v>1.6666666666666666E-2</v>
      </c>
      <c r="H205" s="61">
        <f t="shared" si="144"/>
        <v>0.32500000000000001</v>
      </c>
      <c r="I205" s="35">
        <f t="shared" si="145"/>
        <v>0.30833333333333335</v>
      </c>
      <c r="J205" s="112">
        <f t="shared" si="133"/>
        <v>0</v>
      </c>
      <c r="K205" s="25">
        <f>((C205-B205)+(E205-D205))</f>
        <v>0</v>
      </c>
      <c r="L205" s="169"/>
      <c r="M205" s="171"/>
      <c r="N205" s="174"/>
      <c r="O205" s="169"/>
      <c r="P205" s="171"/>
      <c r="Q205" s="174"/>
      <c r="R205" s="158"/>
      <c r="S205" s="186"/>
      <c r="T205" s="176"/>
      <c r="U205" s="158"/>
      <c r="V205" s="171"/>
      <c r="W205" s="174"/>
      <c r="X205" s="140"/>
      <c r="Y205" s="140"/>
      <c r="Z205" s="188"/>
      <c r="AA205" s="198"/>
      <c r="AB205" s="77"/>
      <c r="AC205" s="77"/>
      <c r="AD205" s="77"/>
      <c r="AE205" s="77"/>
    </row>
    <row r="206" spans="1:31" x14ac:dyDescent="0.25">
      <c r="A206" s="18">
        <v>44875</v>
      </c>
      <c r="B206" s="142" t="s">
        <v>8</v>
      </c>
      <c r="C206" s="143"/>
      <c r="D206" s="143"/>
      <c r="E206" s="144"/>
      <c r="F206" s="39"/>
      <c r="G206" s="40"/>
      <c r="H206" s="57"/>
      <c r="I206" s="118"/>
      <c r="J206" s="68"/>
      <c r="K206" s="27"/>
      <c r="L206" s="169"/>
      <c r="M206" s="171"/>
      <c r="N206" s="174"/>
      <c r="O206" s="169"/>
      <c r="P206" s="171"/>
      <c r="Q206" s="174"/>
      <c r="R206" s="158"/>
      <c r="S206" s="186"/>
      <c r="T206" s="176"/>
      <c r="U206" s="158"/>
      <c r="V206" s="171"/>
      <c r="W206" s="174"/>
      <c r="X206" s="140"/>
      <c r="Y206" s="140"/>
      <c r="Z206" s="188"/>
      <c r="AA206" s="198"/>
      <c r="AB206" s="77"/>
      <c r="AC206" s="77"/>
      <c r="AD206" s="77"/>
      <c r="AE206" s="77"/>
    </row>
    <row r="207" spans="1:31" x14ac:dyDescent="0.25">
      <c r="A207" s="16">
        <v>44876</v>
      </c>
      <c r="B207" s="9"/>
      <c r="C207" s="8"/>
      <c r="D207" s="9"/>
      <c r="E207" s="8"/>
      <c r="F207" s="35">
        <f>IF(COUNTIF(B207:E207,0)=4,0,IF(COUNTIF(B207:E207,0)=2,$AD$3,$AC$3))</f>
        <v>0.30833333333333335</v>
      </c>
      <c r="G207" s="36">
        <f>IF(COUNTIF(B207:E207,0)=4,0,IF(COUNTIF(B207:E207,0)=2,$AD$7,$AC$7))</f>
        <v>1.6666666666666666E-2</v>
      </c>
      <c r="H207" s="61">
        <f t="shared" si="144"/>
        <v>0.32500000000000001</v>
      </c>
      <c r="I207" s="35">
        <f t="shared" si="145"/>
        <v>0.30833333333333335</v>
      </c>
      <c r="J207" s="112">
        <f t="shared" si="133"/>
        <v>0</v>
      </c>
      <c r="K207" s="25">
        <f>((C207-B207)+(E207-D207))</f>
        <v>0</v>
      </c>
      <c r="L207" s="169"/>
      <c r="M207" s="171"/>
      <c r="N207" s="174"/>
      <c r="O207" s="169"/>
      <c r="P207" s="171"/>
      <c r="Q207" s="174"/>
      <c r="R207" s="158"/>
      <c r="S207" s="186"/>
      <c r="T207" s="176"/>
      <c r="U207" s="158"/>
      <c r="V207" s="171"/>
      <c r="W207" s="174"/>
      <c r="X207" s="140"/>
      <c r="Y207" s="140"/>
      <c r="Z207" s="188"/>
      <c r="AA207" s="198"/>
      <c r="AB207" s="77"/>
      <c r="AC207" s="77"/>
      <c r="AD207" s="77"/>
      <c r="AE207" s="77"/>
    </row>
    <row r="208" spans="1:31" x14ac:dyDescent="0.25">
      <c r="A208" s="16">
        <v>44877</v>
      </c>
      <c r="B208" s="12"/>
      <c r="C208" s="11"/>
      <c r="D208" s="12"/>
      <c r="E208" s="11"/>
      <c r="F208" s="47">
        <f>IF(COUNTIF(B208:E208,0)=4,0,IF(COUNTIF(B208:E208,0)=2,$AD$3,$AC$3))</f>
        <v>0.30833333333333335</v>
      </c>
      <c r="G208" s="48">
        <f>IF(COUNTIF(B208:E208,0)=4,0,IF(COUNTIF(B208:E208,0)=2,$AD$7,$AC$7))</f>
        <v>1.6666666666666666E-2</v>
      </c>
      <c r="H208" s="62">
        <f t="shared" si="144"/>
        <v>0.32500000000000001</v>
      </c>
      <c r="I208" s="47">
        <f t="shared" si="145"/>
        <v>0.30833333333333335</v>
      </c>
      <c r="J208" s="112">
        <f t="shared" si="133"/>
        <v>0</v>
      </c>
      <c r="K208" s="49">
        <f>((C208-B208)+(E208-D208))</f>
        <v>0</v>
      </c>
      <c r="L208" s="169"/>
      <c r="M208" s="171"/>
      <c r="N208" s="174"/>
      <c r="O208" s="169"/>
      <c r="P208" s="171"/>
      <c r="Q208" s="174"/>
      <c r="R208" s="158"/>
      <c r="S208" s="186"/>
      <c r="T208" s="176"/>
      <c r="U208" s="158"/>
      <c r="V208" s="171"/>
      <c r="W208" s="174"/>
      <c r="X208" s="140"/>
      <c r="Y208" s="140"/>
      <c r="Z208" s="188"/>
      <c r="AA208" s="198"/>
      <c r="AB208" s="77"/>
      <c r="AC208" s="77"/>
      <c r="AD208" s="77"/>
      <c r="AE208" s="77"/>
    </row>
    <row r="209" spans="1:31" x14ac:dyDescent="0.25">
      <c r="A209" s="18">
        <v>44878</v>
      </c>
      <c r="B209" s="3"/>
      <c r="C209" s="1"/>
      <c r="D209" s="3"/>
      <c r="E209" s="1"/>
      <c r="F209" s="39"/>
      <c r="G209" s="40"/>
      <c r="H209" s="57"/>
      <c r="I209" s="39"/>
      <c r="J209" s="114"/>
      <c r="K209" s="41"/>
      <c r="L209" s="169"/>
      <c r="M209" s="171"/>
      <c r="N209" s="174"/>
      <c r="O209" s="169"/>
      <c r="P209" s="171"/>
      <c r="Q209" s="174"/>
      <c r="R209" s="158"/>
      <c r="S209" s="186"/>
      <c r="T209" s="176"/>
      <c r="U209" s="158"/>
      <c r="V209" s="171"/>
      <c r="W209" s="174"/>
      <c r="X209" s="140"/>
      <c r="Y209" s="140"/>
      <c r="Z209" s="188"/>
      <c r="AA209" s="198"/>
      <c r="AB209" s="77"/>
      <c r="AC209" s="77"/>
      <c r="AD209" s="77"/>
      <c r="AE209" s="77"/>
    </row>
    <row r="210" spans="1:31" x14ac:dyDescent="0.25">
      <c r="A210" s="19">
        <v>44879</v>
      </c>
      <c r="B210" s="4"/>
      <c r="C210" s="2"/>
      <c r="D210" s="4"/>
      <c r="E210" s="2"/>
      <c r="F210" s="42"/>
      <c r="G210" s="43"/>
      <c r="H210" s="58"/>
      <c r="I210" s="42"/>
      <c r="J210" s="115"/>
      <c r="K210" s="44"/>
      <c r="L210" s="170"/>
      <c r="M210" s="172"/>
      <c r="N210" s="175"/>
      <c r="O210" s="170"/>
      <c r="P210" s="172"/>
      <c r="Q210" s="175"/>
      <c r="R210" s="158"/>
      <c r="S210" s="186"/>
      <c r="T210" s="176"/>
      <c r="U210" s="158"/>
      <c r="V210" s="171"/>
      <c r="W210" s="174"/>
      <c r="X210" s="140"/>
      <c r="Y210" s="140"/>
      <c r="Z210" s="188"/>
      <c r="AA210" s="198"/>
      <c r="AB210" s="77"/>
      <c r="AC210" s="77"/>
      <c r="AD210" s="77"/>
      <c r="AE210" s="77"/>
    </row>
    <row r="211" spans="1:31" x14ac:dyDescent="0.25">
      <c r="A211" s="15">
        <v>44880</v>
      </c>
      <c r="B211" s="9"/>
      <c r="C211" s="8"/>
      <c r="D211" s="9"/>
      <c r="E211" s="8"/>
      <c r="F211" s="33">
        <f>IF(COUNTIF(B211:E211,0)=4,0,IF(COUNTIF(B211:E211,0)=2,$AD$3,$AC$3))</f>
        <v>0.30833333333333335</v>
      </c>
      <c r="G211" s="34">
        <f>IF(COUNTIF(B211:E211,0)=4,0,IF(COUNTIF(B211:E211,0)=2,$AD$7,$AC$7))</f>
        <v>1.6666666666666666E-2</v>
      </c>
      <c r="H211" s="60">
        <f t="shared" si="144"/>
        <v>0.32500000000000001</v>
      </c>
      <c r="I211" s="33">
        <f t="shared" si="145"/>
        <v>0.30833333333333335</v>
      </c>
      <c r="J211" s="112">
        <f t="shared" si="133"/>
        <v>0</v>
      </c>
      <c r="K211" s="24">
        <f>((C211-B211)+(E211-D211))</f>
        <v>0</v>
      </c>
      <c r="L211" s="157">
        <f t="shared" ref="L211:M211" si="156">SUM(F211:F217)</f>
        <v>1.5416666666666667</v>
      </c>
      <c r="M211" s="160">
        <f t="shared" si="156"/>
        <v>8.3333333333333329E-2</v>
      </c>
      <c r="N211" s="173">
        <f t="shared" ref="N211" si="157">L211+M211</f>
        <v>1.625</v>
      </c>
      <c r="O211" s="157">
        <f t="shared" ref="O211:P211" si="158">SUM(I211:I217)</f>
        <v>1.5416666666666667</v>
      </c>
      <c r="P211" s="160">
        <f t="shared" si="158"/>
        <v>0</v>
      </c>
      <c r="Q211" s="173">
        <f t="shared" ref="Q211" si="159">O211+P211</f>
        <v>1.5416666666666667</v>
      </c>
      <c r="R211" s="158"/>
      <c r="S211" s="186"/>
      <c r="T211" s="176"/>
      <c r="U211" s="158"/>
      <c r="V211" s="171"/>
      <c r="W211" s="174"/>
      <c r="X211" s="140">
        <f t="shared" ref="X211" si="160">(SUM(G211:G217)*24)*($AC$14+$AC$14*$AD$14)</f>
        <v>66.207250000000002</v>
      </c>
      <c r="Y211" s="140">
        <f t="shared" ref="Y211" si="161">(SUM(J211:J217)*24)*($AC$14+$AC$14*$AD$14)</f>
        <v>0</v>
      </c>
      <c r="Z211" s="188"/>
      <c r="AA211" s="198"/>
      <c r="AB211" s="77"/>
      <c r="AC211" s="77"/>
      <c r="AD211" s="77"/>
      <c r="AE211" s="77"/>
    </row>
    <row r="212" spans="1:31" x14ac:dyDescent="0.25">
      <c r="A212" s="16">
        <v>44881</v>
      </c>
      <c r="B212" s="12"/>
      <c r="C212" s="11"/>
      <c r="D212" s="12"/>
      <c r="E212" s="11"/>
      <c r="F212" s="35">
        <f>IF(COUNTIF(B212:E212,0)=4,0,IF(COUNTIF(B212:E212,0)=2,$AD$3,$AC$3))</f>
        <v>0.30833333333333335</v>
      </c>
      <c r="G212" s="36">
        <f>IF(COUNTIF(B212:E212,0)=4,0,IF(COUNTIF(B212:E212,0)=2,$AD$7,$AC$7))</f>
        <v>1.6666666666666666E-2</v>
      </c>
      <c r="H212" s="61">
        <f t="shared" si="144"/>
        <v>0.32500000000000001</v>
      </c>
      <c r="I212" s="35">
        <f t="shared" si="145"/>
        <v>0.30833333333333335</v>
      </c>
      <c r="J212" s="112">
        <f t="shared" si="133"/>
        <v>0</v>
      </c>
      <c r="K212" s="25">
        <f>((C212-B212)+(E212-D212))</f>
        <v>0</v>
      </c>
      <c r="L212" s="169"/>
      <c r="M212" s="171"/>
      <c r="N212" s="174"/>
      <c r="O212" s="169"/>
      <c r="P212" s="171"/>
      <c r="Q212" s="174"/>
      <c r="R212" s="158"/>
      <c r="S212" s="186"/>
      <c r="T212" s="176"/>
      <c r="U212" s="158"/>
      <c r="V212" s="171"/>
      <c r="W212" s="174"/>
      <c r="X212" s="140"/>
      <c r="Y212" s="140"/>
      <c r="Z212" s="188"/>
      <c r="AA212" s="198"/>
      <c r="AB212" s="77"/>
      <c r="AC212" s="77"/>
      <c r="AD212" s="77"/>
      <c r="AE212" s="77"/>
    </row>
    <row r="213" spans="1:31" x14ac:dyDescent="0.25">
      <c r="A213" s="16">
        <v>44882</v>
      </c>
      <c r="B213" s="12"/>
      <c r="C213" s="11"/>
      <c r="D213" s="12"/>
      <c r="E213" s="11"/>
      <c r="F213" s="35">
        <f>IF(COUNTIF(B213:E213,0)=4,0,IF(COUNTIF(B213:E213,0)=2,$AD$3,$AC$3))</f>
        <v>0.30833333333333335</v>
      </c>
      <c r="G213" s="36">
        <f>IF(COUNTIF(B213:E213,0)=4,0,IF(COUNTIF(B213:E213,0)=2,$AD$7,$AC$7))</f>
        <v>1.6666666666666666E-2</v>
      </c>
      <c r="H213" s="61">
        <f t="shared" si="144"/>
        <v>0.32500000000000001</v>
      </c>
      <c r="I213" s="35">
        <f t="shared" si="145"/>
        <v>0.30833333333333335</v>
      </c>
      <c r="J213" s="112">
        <f t="shared" si="133"/>
        <v>0</v>
      </c>
      <c r="K213" s="25">
        <f>((C213-B213)+(E213-D213))</f>
        <v>0</v>
      </c>
      <c r="L213" s="169"/>
      <c r="M213" s="171"/>
      <c r="N213" s="174"/>
      <c r="O213" s="169"/>
      <c r="P213" s="171"/>
      <c r="Q213" s="174"/>
      <c r="R213" s="158"/>
      <c r="S213" s="186"/>
      <c r="T213" s="176"/>
      <c r="U213" s="158"/>
      <c r="V213" s="171"/>
      <c r="W213" s="174"/>
      <c r="X213" s="140"/>
      <c r="Y213" s="140"/>
      <c r="Z213" s="188"/>
      <c r="AA213" s="198"/>
      <c r="AB213" s="77"/>
      <c r="AC213" s="77"/>
      <c r="AD213" s="77"/>
      <c r="AE213" s="77"/>
    </row>
    <row r="214" spans="1:31" x14ac:dyDescent="0.25">
      <c r="A214" s="16">
        <v>44883</v>
      </c>
      <c r="B214" s="12"/>
      <c r="C214" s="11"/>
      <c r="D214" s="12"/>
      <c r="E214" s="11"/>
      <c r="F214" s="35">
        <f>IF(COUNTIF(B214:E214,0)=4,0,IF(COUNTIF(B214:E214,0)=2,$AD$3,$AC$3))</f>
        <v>0.30833333333333335</v>
      </c>
      <c r="G214" s="36">
        <f>IF(COUNTIF(B214:E214,0)=4,0,IF(COUNTIF(B214:E214,0)=2,$AD$7,$AC$7))</f>
        <v>1.6666666666666666E-2</v>
      </c>
      <c r="H214" s="61">
        <f t="shared" si="144"/>
        <v>0.32500000000000001</v>
      </c>
      <c r="I214" s="35">
        <f t="shared" si="145"/>
        <v>0.30833333333333335</v>
      </c>
      <c r="J214" s="112">
        <f t="shared" si="133"/>
        <v>0</v>
      </c>
      <c r="K214" s="25">
        <f>((C214-B214)+(E214-D214))</f>
        <v>0</v>
      </c>
      <c r="L214" s="169"/>
      <c r="M214" s="171"/>
      <c r="N214" s="174"/>
      <c r="O214" s="169"/>
      <c r="P214" s="171"/>
      <c r="Q214" s="174"/>
      <c r="R214" s="158"/>
      <c r="S214" s="186"/>
      <c r="T214" s="176"/>
      <c r="U214" s="158"/>
      <c r="V214" s="171"/>
      <c r="W214" s="174"/>
      <c r="X214" s="140"/>
      <c r="Y214" s="140"/>
      <c r="Z214" s="188"/>
      <c r="AA214" s="198"/>
      <c r="AB214" s="77"/>
      <c r="AC214" s="77"/>
      <c r="AD214" s="77"/>
      <c r="AE214" s="77"/>
    </row>
    <row r="215" spans="1:31" x14ac:dyDescent="0.25">
      <c r="A215" s="16">
        <v>44884</v>
      </c>
      <c r="B215" s="12"/>
      <c r="C215" s="11"/>
      <c r="D215" s="12"/>
      <c r="E215" s="11"/>
      <c r="F215" s="47">
        <f>IF(COUNTIF(B215:E215,0)=4,0,IF(COUNTIF(B215:E215,0)=2,$AD$3,$AC$3))</f>
        <v>0.30833333333333335</v>
      </c>
      <c r="G215" s="48">
        <f>IF(COUNTIF(B215:E215,0)=4,0,IF(COUNTIF(B215:E215,0)=2,$AD$7,$AC$7))</f>
        <v>1.6666666666666666E-2</v>
      </c>
      <c r="H215" s="62">
        <f t="shared" si="144"/>
        <v>0.32500000000000001</v>
      </c>
      <c r="I215" s="47">
        <f t="shared" si="145"/>
        <v>0.30833333333333335</v>
      </c>
      <c r="J215" s="112">
        <f t="shared" si="133"/>
        <v>0</v>
      </c>
      <c r="K215" s="49">
        <f>((C215-B215)+(E215-D215))</f>
        <v>0</v>
      </c>
      <c r="L215" s="169"/>
      <c r="M215" s="171"/>
      <c r="N215" s="174"/>
      <c r="O215" s="169"/>
      <c r="P215" s="171"/>
      <c r="Q215" s="174"/>
      <c r="R215" s="158"/>
      <c r="S215" s="186"/>
      <c r="T215" s="176"/>
      <c r="U215" s="158"/>
      <c r="V215" s="171"/>
      <c r="W215" s="174"/>
      <c r="X215" s="140"/>
      <c r="Y215" s="140"/>
      <c r="Z215" s="188"/>
      <c r="AA215" s="198"/>
      <c r="AB215" s="77"/>
      <c r="AC215" s="77"/>
      <c r="AD215" s="77"/>
      <c r="AE215" s="77"/>
    </row>
    <row r="216" spans="1:31" x14ac:dyDescent="0.25">
      <c r="A216" s="18">
        <v>44885</v>
      </c>
      <c r="B216" s="3"/>
      <c r="C216" s="1"/>
      <c r="D216" s="3"/>
      <c r="E216" s="1"/>
      <c r="F216" s="39"/>
      <c r="G216" s="40"/>
      <c r="H216" s="57"/>
      <c r="I216" s="39"/>
      <c r="J216" s="114"/>
      <c r="K216" s="41"/>
      <c r="L216" s="169"/>
      <c r="M216" s="171"/>
      <c r="N216" s="174"/>
      <c r="O216" s="169"/>
      <c r="P216" s="171"/>
      <c r="Q216" s="174"/>
      <c r="R216" s="158"/>
      <c r="S216" s="186"/>
      <c r="T216" s="176"/>
      <c r="U216" s="158"/>
      <c r="V216" s="171"/>
      <c r="W216" s="174"/>
      <c r="X216" s="140"/>
      <c r="Y216" s="140"/>
      <c r="Z216" s="188"/>
      <c r="AA216" s="198"/>
      <c r="AB216" s="77"/>
      <c r="AC216" s="77"/>
      <c r="AD216" s="77"/>
      <c r="AE216" s="77"/>
    </row>
    <row r="217" spans="1:31" x14ac:dyDescent="0.25">
      <c r="A217" s="19">
        <v>44886</v>
      </c>
      <c r="B217" s="4"/>
      <c r="C217" s="2"/>
      <c r="D217" s="4"/>
      <c r="E217" s="2"/>
      <c r="F217" s="42"/>
      <c r="G217" s="43"/>
      <c r="H217" s="58"/>
      <c r="I217" s="42"/>
      <c r="J217" s="115"/>
      <c r="K217" s="44"/>
      <c r="L217" s="170"/>
      <c r="M217" s="172"/>
      <c r="N217" s="175"/>
      <c r="O217" s="170"/>
      <c r="P217" s="172"/>
      <c r="Q217" s="175"/>
      <c r="R217" s="158"/>
      <c r="S217" s="186"/>
      <c r="T217" s="176"/>
      <c r="U217" s="158"/>
      <c r="V217" s="171"/>
      <c r="W217" s="174"/>
      <c r="X217" s="140"/>
      <c r="Y217" s="140"/>
      <c r="Z217" s="188"/>
      <c r="AA217" s="198"/>
      <c r="AB217" s="77"/>
      <c r="AC217" s="77"/>
      <c r="AD217" s="77"/>
      <c r="AE217" s="77"/>
    </row>
    <row r="218" spans="1:31" x14ac:dyDescent="0.25">
      <c r="A218" s="15">
        <v>44887</v>
      </c>
      <c r="B218" s="9"/>
      <c r="C218" s="8"/>
      <c r="D218" s="9"/>
      <c r="E218" s="8"/>
      <c r="F218" s="33">
        <f>IF(COUNTIF(B218:E218,0)=4,0,IF(COUNTIF(B218:E218,0)=2,$AD$3,$AC$3))</f>
        <v>0.30833333333333335</v>
      </c>
      <c r="G218" s="34">
        <f>IF(COUNTIF(B218:E218,0)=4,0,IF(COUNTIF(B218:E218,0)=2,$AD$7,$AC$7))</f>
        <v>1.6666666666666666E-2</v>
      </c>
      <c r="H218" s="60">
        <f t="shared" si="144"/>
        <v>0.32500000000000001</v>
      </c>
      <c r="I218" s="33">
        <f t="shared" si="145"/>
        <v>0.30833333333333335</v>
      </c>
      <c r="J218" s="112">
        <f t="shared" si="133"/>
        <v>0</v>
      </c>
      <c r="K218" s="24">
        <f>((C218-B218)+(E218-D218))</f>
        <v>0</v>
      </c>
      <c r="L218" s="157">
        <f t="shared" ref="L218:M218" si="162">SUM(F218:F224)</f>
        <v>1.5416666666666667</v>
      </c>
      <c r="M218" s="160">
        <f t="shared" si="162"/>
        <v>8.3333333333333329E-2</v>
      </c>
      <c r="N218" s="173">
        <f t="shared" ref="N218" si="163">L218+M218</f>
        <v>1.625</v>
      </c>
      <c r="O218" s="157">
        <f t="shared" ref="O218:P218" si="164">SUM(I218:I224)</f>
        <v>1.5416666666666667</v>
      </c>
      <c r="P218" s="160">
        <f t="shared" si="164"/>
        <v>0</v>
      </c>
      <c r="Q218" s="173">
        <f t="shared" ref="Q218" si="165">O218+P218</f>
        <v>1.5416666666666667</v>
      </c>
      <c r="R218" s="158"/>
      <c r="S218" s="186"/>
      <c r="T218" s="176"/>
      <c r="U218" s="158"/>
      <c r="V218" s="171"/>
      <c r="W218" s="174"/>
      <c r="X218" s="140">
        <f t="shared" ref="X218" si="166">(SUM(G218:G224)*24)*($AC$14+$AC$14*$AD$14)</f>
        <v>66.207250000000002</v>
      </c>
      <c r="Y218" s="140">
        <f t="shared" ref="Y218" si="167">(SUM(J218:J224)*24)*($AC$14+$AC$14*$AD$14)</f>
        <v>0</v>
      </c>
      <c r="Z218" s="188"/>
      <c r="AA218" s="198"/>
      <c r="AB218" s="77"/>
      <c r="AC218" s="77"/>
      <c r="AD218" s="77"/>
      <c r="AE218" s="77"/>
    </row>
    <row r="219" spans="1:31" x14ac:dyDescent="0.25">
      <c r="A219" s="16">
        <v>44888</v>
      </c>
      <c r="B219" s="12"/>
      <c r="C219" s="11"/>
      <c r="D219" s="12"/>
      <c r="E219" s="11"/>
      <c r="F219" s="35">
        <f>IF(COUNTIF(B219:E219,0)=4,0,IF(COUNTIF(B219:E219,0)=2,$AD$3,$AC$3))</f>
        <v>0.30833333333333335</v>
      </c>
      <c r="G219" s="36">
        <f>IF(COUNTIF(B219:E219,0)=4,0,IF(COUNTIF(B219:E219,0)=2,$AD$7,$AC$7))</f>
        <v>1.6666666666666666E-2</v>
      </c>
      <c r="H219" s="61">
        <f t="shared" si="144"/>
        <v>0.32500000000000001</v>
      </c>
      <c r="I219" s="35">
        <f t="shared" si="145"/>
        <v>0.30833333333333335</v>
      </c>
      <c r="J219" s="112">
        <f t="shared" si="133"/>
        <v>0</v>
      </c>
      <c r="K219" s="25">
        <f>((C219-B219)+(E219-D219))</f>
        <v>0</v>
      </c>
      <c r="L219" s="169"/>
      <c r="M219" s="171"/>
      <c r="N219" s="174"/>
      <c r="O219" s="169"/>
      <c r="P219" s="171"/>
      <c r="Q219" s="174"/>
      <c r="R219" s="158"/>
      <c r="S219" s="186"/>
      <c r="T219" s="176"/>
      <c r="U219" s="158"/>
      <c r="V219" s="171"/>
      <c r="W219" s="174"/>
      <c r="X219" s="140"/>
      <c r="Y219" s="140"/>
      <c r="Z219" s="188"/>
      <c r="AA219" s="198"/>
      <c r="AB219" s="77"/>
      <c r="AC219" s="77"/>
      <c r="AD219" s="77"/>
      <c r="AE219" s="77"/>
    </row>
    <row r="220" spans="1:31" x14ac:dyDescent="0.25">
      <c r="A220" s="16">
        <v>44889</v>
      </c>
      <c r="B220" s="12"/>
      <c r="C220" s="11"/>
      <c r="D220" s="12"/>
      <c r="E220" s="11"/>
      <c r="F220" s="35">
        <f>IF(COUNTIF(B220:E220,0)=4,0,IF(COUNTIF(B220:E220,0)=2,$AD$3,$AC$3))</f>
        <v>0.30833333333333335</v>
      </c>
      <c r="G220" s="36">
        <f>IF(COUNTIF(B220:E220,0)=4,0,IF(COUNTIF(B220:E220,0)=2,$AD$7,$AC$7))</f>
        <v>1.6666666666666666E-2</v>
      </c>
      <c r="H220" s="61">
        <f t="shared" si="144"/>
        <v>0.32500000000000001</v>
      </c>
      <c r="I220" s="35">
        <f t="shared" si="145"/>
        <v>0.30833333333333335</v>
      </c>
      <c r="J220" s="112">
        <f t="shared" si="133"/>
        <v>0</v>
      </c>
      <c r="K220" s="25">
        <f>((C220-B220)+(E220-D220))</f>
        <v>0</v>
      </c>
      <c r="L220" s="169"/>
      <c r="M220" s="171"/>
      <c r="N220" s="174"/>
      <c r="O220" s="169"/>
      <c r="P220" s="171"/>
      <c r="Q220" s="174"/>
      <c r="R220" s="158"/>
      <c r="S220" s="186"/>
      <c r="T220" s="176"/>
      <c r="U220" s="158"/>
      <c r="V220" s="171"/>
      <c r="W220" s="174"/>
      <c r="X220" s="140"/>
      <c r="Y220" s="140"/>
      <c r="Z220" s="188"/>
      <c r="AA220" s="198"/>
      <c r="AB220" s="77"/>
      <c r="AC220" s="77"/>
      <c r="AD220" s="77"/>
      <c r="AE220" s="77"/>
    </row>
    <row r="221" spans="1:31" x14ac:dyDescent="0.25">
      <c r="A221" s="16">
        <v>44890</v>
      </c>
      <c r="B221" s="12"/>
      <c r="C221" s="11"/>
      <c r="D221" s="12"/>
      <c r="E221" s="11"/>
      <c r="F221" s="35">
        <f>IF(COUNTIF(B221:E221,0)=4,0,IF(COUNTIF(B221:E221,0)=2,$AD$3,$AC$3))</f>
        <v>0.30833333333333335</v>
      </c>
      <c r="G221" s="36">
        <f>IF(COUNTIF(B221:E221,0)=4,0,IF(COUNTIF(B221:E221,0)=2,$AD$7,$AC$7))</f>
        <v>1.6666666666666666E-2</v>
      </c>
      <c r="H221" s="61">
        <f t="shared" si="144"/>
        <v>0.32500000000000001</v>
      </c>
      <c r="I221" s="35">
        <f t="shared" si="145"/>
        <v>0.30833333333333335</v>
      </c>
      <c r="J221" s="112">
        <f t="shared" si="133"/>
        <v>0</v>
      </c>
      <c r="K221" s="25">
        <f>((C221-B221)+(E221-D221))</f>
        <v>0</v>
      </c>
      <c r="L221" s="169"/>
      <c r="M221" s="171"/>
      <c r="N221" s="174"/>
      <c r="O221" s="169"/>
      <c r="P221" s="171"/>
      <c r="Q221" s="174"/>
      <c r="R221" s="158"/>
      <c r="S221" s="186"/>
      <c r="T221" s="176"/>
      <c r="U221" s="158"/>
      <c r="V221" s="171"/>
      <c r="W221" s="174"/>
      <c r="X221" s="140"/>
      <c r="Y221" s="140"/>
      <c r="Z221" s="188"/>
      <c r="AA221" s="198"/>
      <c r="AB221" s="77"/>
      <c r="AC221" s="77"/>
      <c r="AD221" s="77"/>
      <c r="AE221" s="77"/>
    </row>
    <row r="222" spans="1:31" x14ac:dyDescent="0.25">
      <c r="A222" s="16">
        <v>44891</v>
      </c>
      <c r="B222" s="12"/>
      <c r="C222" s="11"/>
      <c r="D222" s="12"/>
      <c r="E222" s="11"/>
      <c r="F222" s="47">
        <f>IF(COUNTIF(B222:E222,0)=4,0,IF(COUNTIF(B222:E222,0)=2,$AD$3,$AC$3))</f>
        <v>0.30833333333333335</v>
      </c>
      <c r="G222" s="48">
        <f>IF(COUNTIF(B222:E222,0)=4,0,IF(COUNTIF(B222:E222,0)=2,$AD$7,$AC$7))</f>
        <v>1.6666666666666666E-2</v>
      </c>
      <c r="H222" s="62">
        <f t="shared" si="144"/>
        <v>0.32500000000000001</v>
      </c>
      <c r="I222" s="47">
        <f t="shared" si="145"/>
        <v>0.30833333333333335</v>
      </c>
      <c r="J222" s="112">
        <f t="shared" si="133"/>
        <v>0</v>
      </c>
      <c r="K222" s="49">
        <f>((C222-B222)+(E222-D222))</f>
        <v>0</v>
      </c>
      <c r="L222" s="169"/>
      <c r="M222" s="171"/>
      <c r="N222" s="174"/>
      <c r="O222" s="169"/>
      <c r="P222" s="171"/>
      <c r="Q222" s="174"/>
      <c r="R222" s="158"/>
      <c r="S222" s="186"/>
      <c r="T222" s="176"/>
      <c r="U222" s="158"/>
      <c r="V222" s="171"/>
      <c r="W222" s="174"/>
      <c r="X222" s="140"/>
      <c r="Y222" s="140"/>
      <c r="Z222" s="188"/>
      <c r="AA222" s="198"/>
      <c r="AB222" s="77"/>
      <c r="AC222" s="77"/>
      <c r="AD222" s="77"/>
      <c r="AE222" s="77"/>
    </row>
    <row r="223" spans="1:31" x14ac:dyDescent="0.25">
      <c r="A223" s="18">
        <v>44892</v>
      </c>
      <c r="B223" s="3"/>
      <c r="C223" s="1"/>
      <c r="D223" s="3"/>
      <c r="E223" s="1"/>
      <c r="F223" s="39"/>
      <c r="G223" s="40"/>
      <c r="H223" s="57"/>
      <c r="I223" s="39"/>
      <c r="J223" s="114"/>
      <c r="K223" s="41"/>
      <c r="L223" s="169"/>
      <c r="M223" s="171"/>
      <c r="N223" s="174"/>
      <c r="O223" s="169"/>
      <c r="P223" s="171"/>
      <c r="Q223" s="174"/>
      <c r="R223" s="158"/>
      <c r="S223" s="186"/>
      <c r="T223" s="176"/>
      <c r="U223" s="158"/>
      <c r="V223" s="171"/>
      <c r="W223" s="174"/>
      <c r="X223" s="140"/>
      <c r="Y223" s="140"/>
      <c r="Z223" s="188"/>
      <c r="AA223" s="198"/>
      <c r="AB223" s="77"/>
      <c r="AC223" s="77"/>
      <c r="AD223" s="77"/>
      <c r="AE223" s="77"/>
    </row>
    <row r="224" spans="1:31" x14ac:dyDescent="0.25">
      <c r="A224" s="19">
        <v>44893</v>
      </c>
      <c r="B224" s="4"/>
      <c r="C224" s="2"/>
      <c r="D224" s="4"/>
      <c r="E224" s="2"/>
      <c r="F224" s="42"/>
      <c r="G224" s="43"/>
      <c r="H224" s="58"/>
      <c r="I224" s="42"/>
      <c r="J224" s="115"/>
      <c r="K224" s="44"/>
      <c r="L224" s="170"/>
      <c r="M224" s="172"/>
      <c r="N224" s="175"/>
      <c r="O224" s="170"/>
      <c r="P224" s="172"/>
      <c r="Q224" s="175"/>
      <c r="R224" s="158"/>
      <c r="S224" s="186"/>
      <c r="T224" s="176"/>
      <c r="U224" s="158"/>
      <c r="V224" s="171"/>
      <c r="W224" s="174"/>
      <c r="X224" s="140"/>
      <c r="Y224" s="140"/>
      <c r="Z224" s="188"/>
      <c r="AA224" s="198"/>
      <c r="AB224" s="77"/>
      <c r="AC224" s="77"/>
      <c r="AD224" s="77"/>
      <c r="AE224" s="77"/>
    </row>
    <row r="225" spans="1:31" x14ac:dyDescent="0.25">
      <c r="A225" s="15">
        <v>44894</v>
      </c>
      <c r="B225" s="9"/>
      <c r="C225" s="8"/>
      <c r="D225" s="9"/>
      <c r="E225" s="8"/>
      <c r="F225" s="33">
        <f>IF(COUNTIF(B225:E225,0)=4,0,IF(COUNTIF(B225:E225,0)=2,$AD$3,$AC$3))</f>
        <v>0.30833333333333335</v>
      </c>
      <c r="G225" s="34">
        <f>IF(COUNTIF(B225:E225,0)=4,0,IF(COUNTIF(B225:E225,0)=2,$AD$7,$AC$7))</f>
        <v>1.6666666666666666E-2</v>
      </c>
      <c r="H225" s="60">
        <f t="shared" si="144"/>
        <v>0.32500000000000001</v>
      </c>
      <c r="I225" s="33">
        <f t="shared" si="145"/>
        <v>0.30833333333333335</v>
      </c>
      <c r="J225" s="112">
        <f t="shared" si="133"/>
        <v>0</v>
      </c>
      <c r="K225" s="24">
        <f>((C225-B225)+(E225-D225))</f>
        <v>0</v>
      </c>
      <c r="L225" s="157">
        <f t="shared" ref="L225:M225" si="168">SUM(F225:F231)</f>
        <v>1.5416666666666667</v>
      </c>
      <c r="M225" s="160">
        <f t="shared" si="168"/>
        <v>8.3333333333333329E-2</v>
      </c>
      <c r="N225" s="173">
        <f t="shared" ref="N225" si="169">L225+M225</f>
        <v>1.625</v>
      </c>
      <c r="O225" s="157">
        <f t="shared" ref="O225:P225" si="170">SUM(I225:I231)</f>
        <v>1.5416666666666667</v>
      </c>
      <c r="P225" s="160">
        <f t="shared" si="170"/>
        <v>0</v>
      </c>
      <c r="Q225" s="173">
        <f t="shared" ref="Q225" si="171">O225+P225</f>
        <v>1.5416666666666667</v>
      </c>
      <c r="R225" s="159"/>
      <c r="S225" s="187"/>
      <c r="T225" s="177"/>
      <c r="U225" s="159"/>
      <c r="V225" s="172"/>
      <c r="W225" s="175"/>
      <c r="X225" s="78">
        <f>(SUM(G225)*24)*($AC$14+$AC$14*$AD$14)</f>
        <v>13.24145</v>
      </c>
      <c r="Y225" s="78">
        <f>(SUM(J225)*24)*($AC$14+$AC$14*$AD$14)</f>
        <v>0</v>
      </c>
      <c r="Z225" s="188"/>
      <c r="AA225" s="198"/>
      <c r="AB225" s="77"/>
      <c r="AC225" s="77"/>
      <c r="AD225" s="77"/>
      <c r="AE225" s="77"/>
    </row>
    <row r="226" spans="1:31" x14ac:dyDescent="0.25">
      <c r="A226" s="16">
        <v>44895</v>
      </c>
      <c r="B226" s="12"/>
      <c r="C226" s="11"/>
      <c r="D226" s="12"/>
      <c r="E226" s="11"/>
      <c r="F226" s="35">
        <f>IF(COUNTIF(B226:E226,0)=4,0,IF(COUNTIF(B226:E226,0)=2,$AD$3,$AC$3))</f>
        <v>0.30833333333333335</v>
      </c>
      <c r="G226" s="36">
        <f>IF(COUNTIF(B226:E226,0)=4,0,IF(COUNTIF(B226:E226,0)=2,$AD$7,$AC$7))</f>
        <v>1.6666666666666666E-2</v>
      </c>
      <c r="H226" s="61">
        <f t="shared" si="144"/>
        <v>0.32500000000000001</v>
      </c>
      <c r="I226" s="35">
        <f t="shared" si="145"/>
        <v>0.30833333333333335</v>
      </c>
      <c r="J226" s="112">
        <f t="shared" si="133"/>
        <v>0</v>
      </c>
      <c r="K226" s="25">
        <f>((C226-B226)+(E226-D226))</f>
        <v>0</v>
      </c>
      <c r="L226" s="169"/>
      <c r="M226" s="171"/>
      <c r="N226" s="174"/>
      <c r="O226" s="169"/>
      <c r="P226" s="171"/>
      <c r="Q226" s="174"/>
      <c r="R226" s="157">
        <f>SUM(F226:F256)</f>
        <v>6.7833333333333368</v>
      </c>
      <c r="S226" s="185">
        <f>SUM(G226:G256)</f>
        <v>0.36666666666666664</v>
      </c>
      <c r="T226" s="173">
        <f>R226+S226</f>
        <v>7.150000000000003</v>
      </c>
      <c r="U226" s="157">
        <f>SUM(I226:I256)</f>
        <v>6.7833333333333368</v>
      </c>
      <c r="V226" s="160">
        <f>SUM(J226:J256)</f>
        <v>0</v>
      </c>
      <c r="W226" s="163">
        <f>U226+V226</f>
        <v>6.7833333333333368</v>
      </c>
      <c r="X226" s="140">
        <f>(SUM(G226:G231)*24)*($AC$14+$AC$14*$AD$14)</f>
        <v>52.965800000000002</v>
      </c>
      <c r="Y226" s="140">
        <f>(SUM(J226:J231)*24)*($AC$14+$AC$14*$AD$14)</f>
        <v>0</v>
      </c>
      <c r="Z226" s="188"/>
      <c r="AA226" s="198"/>
      <c r="AB226" s="77"/>
      <c r="AC226" s="77"/>
      <c r="AD226" s="77"/>
      <c r="AE226" s="77"/>
    </row>
    <row r="227" spans="1:31" x14ac:dyDescent="0.25">
      <c r="A227" s="16">
        <v>44896</v>
      </c>
      <c r="B227" s="12"/>
      <c r="C227" s="11"/>
      <c r="D227" s="12"/>
      <c r="E227" s="11"/>
      <c r="F227" s="35">
        <f>IF(COUNTIF(B227:E227,0)=4,0,IF(COUNTIF(B227:E227,0)=2,$AD$3,$AC$3))</f>
        <v>0.30833333333333335</v>
      </c>
      <c r="G227" s="36">
        <f>IF(COUNTIF(B227:E227,0)=4,0,IF(COUNTIF(B227:E227,0)=2,$AD$7,$AC$7))</f>
        <v>1.6666666666666666E-2</v>
      </c>
      <c r="H227" s="61">
        <f t="shared" si="144"/>
        <v>0.32500000000000001</v>
      </c>
      <c r="I227" s="35">
        <f t="shared" si="145"/>
        <v>0.30833333333333335</v>
      </c>
      <c r="J227" s="112">
        <f t="shared" si="133"/>
        <v>0</v>
      </c>
      <c r="K227" s="25">
        <f>((C227-B227)+(E227-D227))</f>
        <v>0</v>
      </c>
      <c r="L227" s="169"/>
      <c r="M227" s="171"/>
      <c r="N227" s="174"/>
      <c r="O227" s="169"/>
      <c r="P227" s="171"/>
      <c r="Q227" s="174"/>
      <c r="R227" s="158"/>
      <c r="S227" s="186"/>
      <c r="T227" s="176"/>
      <c r="U227" s="158"/>
      <c r="V227" s="161"/>
      <c r="W227" s="164"/>
      <c r="X227" s="140"/>
      <c r="Y227" s="140"/>
      <c r="Z227" s="188"/>
      <c r="AA227" s="198"/>
      <c r="AB227" s="77"/>
      <c r="AC227" s="77"/>
      <c r="AD227" s="77"/>
      <c r="AE227" s="77"/>
    </row>
    <row r="228" spans="1:31" x14ac:dyDescent="0.25">
      <c r="A228" s="16">
        <v>44897</v>
      </c>
      <c r="B228" s="12"/>
      <c r="C228" s="11"/>
      <c r="D228" s="12"/>
      <c r="E228" s="11"/>
      <c r="F228" s="35">
        <f>IF(COUNTIF(B228:E228,0)=4,0,IF(COUNTIF(B228:E228,0)=2,$AD$3,$AC$3))</f>
        <v>0.30833333333333335</v>
      </c>
      <c r="G228" s="36">
        <f>IF(COUNTIF(B228:E228,0)=4,0,IF(COUNTIF(B228:E228,0)=2,$AD$7,$AC$7))</f>
        <v>1.6666666666666666E-2</v>
      </c>
      <c r="H228" s="61">
        <f t="shared" si="144"/>
        <v>0.32500000000000001</v>
      </c>
      <c r="I228" s="35">
        <f t="shared" si="145"/>
        <v>0.30833333333333335</v>
      </c>
      <c r="J228" s="112">
        <f t="shared" si="133"/>
        <v>0</v>
      </c>
      <c r="K228" s="25">
        <f>((C228-B228)+(E228-D228))</f>
        <v>0</v>
      </c>
      <c r="L228" s="169"/>
      <c r="M228" s="171"/>
      <c r="N228" s="174"/>
      <c r="O228" s="169"/>
      <c r="P228" s="171"/>
      <c r="Q228" s="174"/>
      <c r="R228" s="158"/>
      <c r="S228" s="186"/>
      <c r="T228" s="176"/>
      <c r="U228" s="158"/>
      <c r="V228" s="161"/>
      <c r="W228" s="164"/>
      <c r="X228" s="140"/>
      <c r="Y228" s="140"/>
      <c r="Z228" s="188"/>
      <c r="AA228" s="198"/>
      <c r="AB228" s="77"/>
      <c r="AC228" s="77"/>
      <c r="AD228" s="77"/>
      <c r="AE228" s="77"/>
    </row>
    <row r="229" spans="1:31" x14ac:dyDescent="0.25">
      <c r="A229" s="16">
        <v>44898</v>
      </c>
      <c r="B229" s="12"/>
      <c r="C229" s="11"/>
      <c r="D229" s="12"/>
      <c r="E229" s="11"/>
      <c r="F229" s="47">
        <f>IF(COUNTIF(B229:E229,0)=4,0,IF(COUNTIF(B229:E229,0)=2,$AD$3,$AC$3))</f>
        <v>0.30833333333333335</v>
      </c>
      <c r="G229" s="48">
        <f>IF(COUNTIF(B229:E229,0)=4,0,IF(COUNTIF(B229:E229,0)=2,$AD$7,$AC$7))</f>
        <v>1.6666666666666666E-2</v>
      </c>
      <c r="H229" s="62">
        <f t="shared" si="144"/>
        <v>0.32500000000000001</v>
      </c>
      <c r="I229" s="47">
        <f t="shared" si="145"/>
        <v>0.30833333333333335</v>
      </c>
      <c r="J229" s="112">
        <f t="shared" si="133"/>
        <v>0</v>
      </c>
      <c r="K229" s="49">
        <f>((C229-B229)+(E229-D229))</f>
        <v>0</v>
      </c>
      <c r="L229" s="169"/>
      <c r="M229" s="171"/>
      <c r="N229" s="174"/>
      <c r="O229" s="169"/>
      <c r="P229" s="171"/>
      <c r="Q229" s="174"/>
      <c r="R229" s="158"/>
      <c r="S229" s="186"/>
      <c r="T229" s="176"/>
      <c r="U229" s="158"/>
      <c r="V229" s="161"/>
      <c r="W229" s="164"/>
      <c r="X229" s="140"/>
      <c r="Y229" s="140"/>
      <c r="Z229" s="188"/>
      <c r="AA229" s="198"/>
      <c r="AB229" s="77"/>
      <c r="AC229" s="77"/>
      <c r="AD229" s="77"/>
      <c r="AE229" s="77"/>
    </row>
    <row r="230" spans="1:31" x14ac:dyDescent="0.25">
      <c r="A230" s="18">
        <v>44899</v>
      </c>
      <c r="B230" s="3"/>
      <c r="C230" s="1"/>
      <c r="D230" s="3"/>
      <c r="E230" s="1"/>
      <c r="F230" s="39"/>
      <c r="G230" s="40"/>
      <c r="H230" s="57"/>
      <c r="I230" s="39"/>
      <c r="J230" s="114"/>
      <c r="K230" s="41"/>
      <c r="L230" s="169"/>
      <c r="M230" s="171"/>
      <c r="N230" s="174"/>
      <c r="O230" s="169"/>
      <c r="P230" s="171"/>
      <c r="Q230" s="174"/>
      <c r="R230" s="158"/>
      <c r="S230" s="186"/>
      <c r="T230" s="176"/>
      <c r="U230" s="158"/>
      <c r="V230" s="161"/>
      <c r="W230" s="164"/>
      <c r="X230" s="140"/>
      <c r="Y230" s="140"/>
      <c r="Z230" s="188"/>
      <c r="AA230" s="198"/>
      <c r="AB230" s="77"/>
      <c r="AC230" s="77"/>
      <c r="AD230" s="77"/>
      <c r="AE230" s="77"/>
    </row>
    <row r="231" spans="1:31" x14ac:dyDescent="0.25">
      <c r="A231" s="19">
        <v>44900</v>
      </c>
      <c r="B231" s="4"/>
      <c r="C231" s="2"/>
      <c r="D231" s="4"/>
      <c r="E231" s="2"/>
      <c r="F231" s="42"/>
      <c r="G231" s="43"/>
      <c r="H231" s="58"/>
      <c r="I231" s="42"/>
      <c r="J231" s="115"/>
      <c r="K231" s="44"/>
      <c r="L231" s="170"/>
      <c r="M231" s="172"/>
      <c r="N231" s="175"/>
      <c r="O231" s="170"/>
      <c r="P231" s="172"/>
      <c r="Q231" s="175"/>
      <c r="R231" s="158"/>
      <c r="S231" s="186"/>
      <c r="T231" s="176"/>
      <c r="U231" s="158"/>
      <c r="V231" s="161"/>
      <c r="W231" s="164"/>
      <c r="X231" s="140"/>
      <c r="Y231" s="140"/>
      <c r="Z231" s="188"/>
      <c r="AA231" s="198"/>
      <c r="AB231" s="77"/>
      <c r="AC231" s="77"/>
      <c r="AD231" s="77"/>
      <c r="AE231" s="77"/>
    </row>
    <row r="232" spans="1:31" x14ac:dyDescent="0.25">
      <c r="A232" s="15">
        <v>44901</v>
      </c>
      <c r="B232" s="9"/>
      <c r="C232" s="8"/>
      <c r="D232" s="9"/>
      <c r="E232" s="8"/>
      <c r="F232" s="33">
        <f>IF(COUNTIF(B232:E232,0)=4,0,IF(COUNTIF(B232:E232,0)=2,$AD$3,$AC$3))</f>
        <v>0.30833333333333335</v>
      </c>
      <c r="G232" s="34">
        <f>IF(COUNTIF(B232:E232,0)=4,0,IF(COUNTIF(B232:E232,0)=2,$AD$7,$AC$7))</f>
        <v>1.6666666666666666E-2</v>
      </c>
      <c r="H232" s="60">
        <f t="shared" si="144"/>
        <v>0.32500000000000001</v>
      </c>
      <c r="I232" s="33">
        <f t="shared" si="145"/>
        <v>0.30833333333333335</v>
      </c>
      <c r="J232" s="112">
        <f t="shared" si="133"/>
        <v>0</v>
      </c>
      <c r="K232" s="24">
        <f>((C232-B232)+(E232-D232))</f>
        <v>0</v>
      </c>
      <c r="L232" s="157">
        <f t="shared" ref="L232:M232" si="172">SUM(F232:F238)</f>
        <v>1.5416666666666667</v>
      </c>
      <c r="M232" s="160">
        <f t="shared" si="172"/>
        <v>8.3333333333333329E-2</v>
      </c>
      <c r="N232" s="173">
        <f t="shared" ref="N232" si="173">L232+M232</f>
        <v>1.625</v>
      </c>
      <c r="O232" s="157">
        <f t="shared" ref="O232:P232" si="174">SUM(I232:I238)</f>
        <v>1.5416666666666667</v>
      </c>
      <c r="P232" s="160">
        <f t="shared" si="174"/>
        <v>0</v>
      </c>
      <c r="Q232" s="173">
        <f t="shared" ref="Q232" si="175">O232+P232</f>
        <v>1.5416666666666667</v>
      </c>
      <c r="R232" s="158"/>
      <c r="S232" s="186"/>
      <c r="T232" s="176"/>
      <c r="U232" s="158"/>
      <c r="V232" s="161"/>
      <c r="W232" s="164"/>
      <c r="X232" s="140">
        <f>(SUM(G232:G238)*24)*($AC$14+$AC$14*$AD$14)</f>
        <v>66.207250000000002</v>
      </c>
      <c r="Y232" s="140">
        <f>(SUM(J232:J238)*24)*($AC$14+$AC$14*$AD$14)</f>
        <v>0</v>
      </c>
      <c r="Z232" s="188"/>
      <c r="AA232" s="198"/>
      <c r="AB232" s="77"/>
      <c r="AC232" s="77"/>
      <c r="AD232" s="77"/>
      <c r="AE232" s="77"/>
    </row>
    <row r="233" spans="1:31" x14ac:dyDescent="0.25">
      <c r="A233" s="16">
        <v>44902</v>
      </c>
      <c r="B233" s="12"/>
      <c r="C233" s="11"/>
      <c r="D233" s="12"/>
      <c r="E233" s="11"/>
      <c r="F233" s="35">
        <f>IF(COUNTIF(B233:E233,0)=4,0,IF(COUNTIF(B233:E233,0)=2,$AD$3,$AC$3))</f>
        <v>0.30833333333333335</v>
      </c>
      <c r="G233" s="36">
        <f>IF(COUNTIF(B233:E233,0)=4,0,IF(COUNTIF(B233:E233,0)=2,$AD$7,$AC$7))</f>
        <v>1.6666666666666666E-2</v>
      </c>
      <c r="H233" s="61">
        <f t="shared" si="144"/>
        <v>0.32500000000000001</v>
      </c>
      <c r="I233" s="35">
        <f t="shared" si="145"/>
        <v>0.30833333333333335</v>
      </c>
      <c r="J233" s="112">
        <f t="shared" si="133"/>
        <v>0</v>
      </c>
      <c r="K233" s="25">
        <f>((C233-B233)+(E233-D233))</f>
        <v>0</v>
      </c>
      <c r="L233" s="169"/>
      <c r="M233" s="171"/>
      <c r="N233" s="174"/>
      <c r="O233" s="169"/>
      <c r="P233" s="171"/>
      <c r="Q233" s="174"/>
      <c r="R233" s="158"/>
      <c r="S233" s="186"/>
      <c r="T233" s="176"/>
      <c r="U233" s="158"/>
      <c r="V233" s="161"/>
      <c r="W233" s="164"/>
      <c r="X233" s="140"/>
      <c r="Y233" s="140"/>
      <c r="Z233" s="188"/>
      <c r="AA233" s="198"/>
      <c r="AB233" s="77"/>
      <c r="AC233" s="77"/>
      <c r="AD233" s="77"/>
      <c r="AE233" s="77"/>
    </row>
    <row r="234" spans="1:31" x14ac:dyDescent="0.25">
      <c r="A234" s="16">
        <v>44903</v>
      </c>
      <c r="B234" s="12"/>
      <c r="C234" s="11"/>
      <c r="D234" s="12"/>
      <c r="E234" s="11"/>
      <c r="F234" s="35">
        <f>IF(COUNTIF(B234:E234,0)=4,0,IF(COUNTIF(B234:E234,0)=2,$AD$3,$AC$3))</f>
        <v>0.30833333333333335</v>
      </c>
      <c r="G234" s="36">
        <f>IF(COUNTIF(B234:E234,0)=4,0,IF(COUNTIF(B234:E234,0)=2,$AD$7,$AC$7))</f>
        <v>1.6666666666666666E-2</v>
      </c>
      <c r="H234" s="61">
        <f t="shared" si="144"/>
        <v>0.32500000000000001</v>
      </c>
      <c r="I234" s="35">
        <f t="shared" si="145"/>
        <v>0.30833333333333335</v>
      </c>
      <c r="J234" s="112">
        <f t="shared" si="133"/>
        <v>0</v>
      </c>
      <c r="K234" s="25">
        <f>((C234-B234)+(E234-D234))</f>
        <v>0</v>
      </c>
      <c r="L234" s="169"/>
      <c r="M234" s="171"/>
      <c r="N234" s="174"/>
      <c r="O234" s="169"/>
      <c r="P234" s="171"/>
      <c r="Q234" s="174"/>
      <c r="R234" s="158"/>
      <c r="S234" s="186"/>
      <c r="T234" s="176"/>
      <c r="U234" s="158"/>
      <c r="V234" s="161"/>
      <c r="W234" s="164"/>
      <c r="X234" s="140"/>
      <c r="Y234" s="140"/>
      <c r="Z234" s="188"/>
      <c r="AA234" s="198"/>
      <c r="AB234" s="77"/>
      <c r="AC234" s="77"/>
      <c r="AD234" s="77"/>
      <c r="AE234" s="77"/>
    </row>
    <row r="235" spans="1:31" x14ac:dyDescent="0.25">
      <c r="A235" s="16">
        <v>44904</v>
      </c>
      <c r="B235" s="12"/>
      <c r="C235" s="11"/>
      <c r="D235" s="12"/>
      <c r="E235" s="11"/>
      <c r="F235" s="35">
        <f>IF(COUNTIF(B235:E235,0)=4,0,IF(COUNTIF(B235:E235,0)=2,$AD$3,$AC$3))</f>
        <v>0.30833333333333335</v>
      </c>
      <c r="G235" s="36">
        <f>IF(COUNTIF(B235:E235,0)=4,0,IF(COUNTIF(B235:E235,0)=2,$AD$7,$AC$7))</f>
        <v>1.6666666666666666E-2</v>
      </c>
      <c r="H235" s="61">
        <f t="shared" si="144"/>
        <v>0.32500000000000001</v>
      </c>
      <c r="I235" s="35">
        <f t="shared" si="145"/>
        <v>0.30833333333333335</v>
      </c>
      <c r="J235" s="112">
        <f t="shared" si="133"/>
        <v>0</v>
      </c>
      <c r="K235" s="25">
        <f>((C235-B235)+(E235-D235))</f>
        <v>0</v>
      </c>
      <c r="L235" s="169"/>
      <c r="M235" s="171"/>
      <c r="N235" s="174"/>
      <c r="O235" s="169"/>
      <c r="P235" s="171"/>
      <c r="Q235" s="174"/>
      <c r="R235" s="158"/>
      <c r="S235" s="186"/>
      <c r="T235" s="176"/>
      <c r="U235" s="158"/>
      <c r="V235" s="161"/>
      <c r="W235" s="164"/>
      <c r="X235" s="140"/>
      <c r="Y235" s="140"/>
      <c r="Z235" s="188"/>
      <c r="AA235" s="198"/>
      <c r="AB235" s="77"/>
      <c r="AC235" s="77"/>
      <c r="AD235" s="77"/>
      <c r="AE235" s="77"/>
    </row>
    <row r="236" spans="1:31" x14ac:dyDescent="0.25">
      <c r="A236" s="16">
        <v>44905</v>
      </c>
      <c r="B236" s="12"/>
      <c r="C236" s="11"/>
      <c r="D236" s="12"/>
      <c r="E236" s="11"/>
      <c r="F236" s="47">
        <f>IF(COUNTIF(B236:E236,0)=4,0,IF(COUNTIF(B236:E236,0)=2,$AD$3,$AC$3))</f>
        <v>0.30833333333333335</v>
      </c>
      <c r="G236" s="48">
        <f>IF(COUNTIF(B236:E236,0)=4,0,IF(COUNTIF(B236:E236,0)=2,$AD$7,$AC$7))</f>
        <v>1.6666666666666666E-2</v>
      </c>
      <c r="H236" s="62">
        <f t="shared" si="144"/>
        <v>0.32500000000000001</v>
      </c>
      <c r="I236" s="47">
        <f t="shared" si="145"/>
        <v>0.30833333333333335</v>
      </c>
      <c r="J236" s="112">
        <f t="shared" si="133"/>
        <v>0</v>
      </c>
      <c r="K236" s="49">
        <f>((C236-B236)+(E236-D236))</f>
        <v>0</v>
      </c>
      <c r="L236" s="169"/>
      <c r="M236" s="171"/>
      <c r="N236" s="174"/>
      <c r="O236" s="169"/>
      <c r="P236" s="171"/>
      <c r="Q236" s="174"/>
      <c r="R236" s="158"/>
      <c r="S236" s="186"/>
      <c r="T236" s="176"/>
      <c r="U236" s="158"/>
      <c r="V236" s="161"/>
      <c r="W236" s="164"/>
      <c r="X236" s="140"/>
      <c r="Y236" s="140"/>
      <c r="Z236" s="188"/>
      <c r="AA236" s="198"/>
      <c r="AB236" s="77"/>
      <c r="AC236" s="77"/>
      <c r="AD236" s="77"/>
      <c r="AE236" s="77"/>
    </row>
    <row r="237" spans="1:31" x14ac:dyDescent="0.25">
      <c r="A237" s="18">
        <v>44906</v>
      </c>
      <c r="B237" s="3"/>
      <c r="C237" s="1"/>
      <c r="D237" s="3"/>
      <c r="E237" s="1"/>
      <c r="F237" s="39"/>
      <c r="G237" s="40"/>
      <c r="H237" s="57"/>
      <c r="I237" s="39"/>
      <c r="J237" s="114"/>
      <c r="K237" s="41"/>
      <c r="L237" s="169"/>
      <c r="M237" s="171"/>
      <c r="N237" s="174"/>
      <c r="O237" s="169"/>
      <c r="P237" s="171"/>
      <c r="Q237" s="174"/>
      <c r="R237" s="158"/>
      <c r="S237" s="186"/>
      <c r="T237" s="176"/>
      <c r="U237" s="158"/>
      <c r="V237" s="161"/>
      <c r="W237" s="164"/>
      <c r="X237" s="140"/>
      <c r="Y237" s="140"/>
      <c r="Z237" s="188"/>
      <c r="AA237" s="198"/>
      <c r="AB237" s="77"/>
      <c r="AC237" s="77"/>
      <c r="AD237" s="77"/>
      <c r="AE237" s="77"/>
    </row>
    <row r="238" spans="1:31" x14ac:dyDescent="0.25">
      <c r="A238" s="19">
        <v>44907</v>
      </c>
      <c r="B238" s="4"/>
      <c r="C238" s="2"/>
      <c r="D238" s="4"/>
      <c r="E238" s="2"/>
      <c r="F238" s="42"/>
      <c r="G238" s="43"/>
      <c r="H238" s="58"/>
      <c r="I238" s="42"/>
      <c r="J238" s="115"/>
      <c r="K238" s="44"/>
      <c r="L238" s="170"/>
      <c r="M238" s="172"/>
      <c r="N238" s="175"/>
      <c r="O238" s="170"/>
      <c r="P238" s="172"/>
      <c r="Q238" s="175"/>
      <c r="R238" s="158"/>
      <c r="S238" s="186"/>
      <c r="T238" s="176"/>
      <c r="U238" s="158"/>
      <c r="V238" s="161"/>
      <c r="W238" s="164"/>
      <c r="X238" s="140"/>
      <c r="Y238" s="140"/>
      <c r="Z238" s="188"/>
      <c r="AA238" s="198"/>
      <c r="AB238" s="77"/>
      <c r="AC238" s="77"/>
      <c r="AD238" s="77"/>
      <c r="AE238" s="77"/>
    </row>
    <row r="239" spans="1:31" x14ac:dyDescent="0.25">
      <c r="A239" s="15">
        <v>44908</v>
      </c>
      <c r="B239" s="9"/>
      <c r="C239" s="8"/>
      <c r="D239" s="9"/>
      <c r="E239" s="8"/>
      <c r="F239" s="33">
        <f>IF(COUNTIF(B239:E239,0)=4,0,IF(COUNTIF(B239:E239,0)=2,$AD$3,$AC$3))</f>
        <v>0.30833333333333335</v>
      </c>
      <c r="G239" s="34">
        <f>IF(COUNTIF(B239:E239,0)=4,0,IF(COUNTIF(B239:E239,0)=2,$AD$7,$AC$7))</f>
        <v>1.6666666666666666E-2</v>
      </c>
      <c r="H239" s="60">
        <f t="shared" si="144"/>
        <v>0.32500000000000001</v>
      </c>
      <c r="I239" s="33">
        <f t="shared" si="145"/>
        <v>0.30833333333333335</v>
      </c>
      <c r="J239" s="112">
        <f t="shared" si="133"/>
        <v>0</v>
      </c>
      <c r="K239" s="24">
        <f>((C239-B239)+(E239-D239))</f>
        <v>0</v>
      </c>
      <c r="L239" s="157">
        <f t="shared" ref="L239:M239" si="176">SUM(F239:F245)</f>
        <v>1.5416666666666667</v>
      </c>
      <c r="M239" s="160">
        <f t="shared" si="176"/>
        <v>8.3333333333333329E-2</v>
      </c>
      <c r="N239" s="173">
        <f t="shared" ref="N239" si="177">L239+M239</f>
        <v>1.625</v>
      </c>
      <c r="O239" s="157">
        <f t="shared" ref="O239:P239" si="178">SUM(I239:I245)</f>
        <v>1.5416666666666667</v>
      </c>
      <c r="P239" s="160">
        <f t="shared" si="178"/>
        <v>0</v>
      </c>
      <c r="Q239" s="173">
        <f t="shared" ref="Q239" si="179">O239+P239</f>
        <v>1.5416666666666667</v>
      </c>
      <c r="R239" s="158"/>
      <c r="S239" s="186"/>
      <c r="T239" s="176"/>
      <c r="U239" s="158"/>
      <c r="V239" s="161"/>
      <c r="W239" s="164"/>
      <c r="X239" s="140">
        <f t="shared" ref="X239" si="180">(SUM(G239:G245)*24)*($AC$14+$AC$14*$AD$14)</f>
        <v>66.207250000000002</v>
      </c>
      <c r="Y239" s="140">
        <f t="shared" ref="Y239" si="181">(SUM(J239:J245)*24)*($AC$14+$AC$14*$AD$14)</f>
        <v>0</v>
      </c>
      <c r="Z239" s="188"/>
      <c r="AA239" s="198"/>
      <c r="AB239" s="77"/>
      <c r="AC239" s="77"/>
      <c r="AD239" s="77"/>
      <c r="AE239" s="77"/>
    </row>
    <row r="240" spans="1:31" x14ac:dyDescent="0.25">
      <c r="A240" s="16">
        <v>44909</v>
      </c>
      <c r="B240" s="12"/>
      <c r="C240" s="11"/>
      <c r="D240" s="12"/>
      <c r="E240" s="11"/>
      <c r="F240" s="35">
        <f>IF(COUNTIF(B240:E240,0)=4,0,IF(COUNTIF(B240:E240,0)=2,$AD$3,$AC$3))</f>
        <v>0.30833333333333335</v>
      </c>
      <c r="G240" s="36">
        <f>IF(COUNTIF(B240:E240,0)=4,0,IF(COUNTIF(B240:E240,0)=2,$AD$7,$AC$7))</f>
        <v>1.6666666666666666E-2</v>
      </c>
      <c r="H240" s="61">
        <f t="shared" si="144"/>
        <v>0.32500000000000001</v>
      </c>
      <c r="I240" s="35">
        <f t="shared" si="145"/>
        <v>0.30833333333333335</v>
      </c>
      <c r="J240" s="112">
        <f t="shared" si="133"/>
        <v>0</v>
      </c>
      <c r="K240" s="25">
        <f>((C240-B240)+(E240-D240))</f>
        <v>0</v>
      </c>
      <c r="L240" s="169"/>
      <c r="M240" s="171"/>
      <c r="N240" s="174"/>
      <c r="O240" s="169"/>
      <c r="P240" s="171"/>
      <c r="Q240" s="174"/>
      <c r="R240" s="158"/>
      <c r="S240" s="186"/>
      <c r="T240" s="176"/>
      <c r="U240" s="158"/>
      <c r="V240" s="161"/>
      <c r="W240" s="164"/>
      <c r="X240" s="140"/>
      <c r="Y240" s="140"/>
      <c r="Z240" s="188"/>
      <c r="AA240" s="198"/>
      <c r="AB240" s="77"/>
      <c r="AC240" s="77"/>
      <c r="AD240" s="77"/>
      <c r="AE240" s="77"/>
    </row>
    <row r="241" spans="1:31" x14ac:dyDescent="0.25">
      <c r="A241" s="16">
        <v>44910</v>
      </c>
      <c r="B241" s="12"/>
      <c r="C241" s="11"/>
      <c r="D241" s="12"/>
      <c r="E241" s="11"/>
      <c r="F241" s="35">
        <f>IF(COUNTIF(B241:E241,0)=4,0,IF(COUNTIF(B241:E241,0)=2,$AD$3,$AC$3))</f>
        <v>0.30833333333333335</v>
      </c>
      <c r="G241" s="36">
        <f>IF(COUNTIF(B241:E241,0)=4,0,IF(COUNTIF(B241:E241,0)=2,$AD$7,$AC$7))</f>
        <v>1.6666666666666666E-2</v>
      </c>
      <c r="H241" s="61">
        <f t="shared" si="144"/>
        <v>0.32500000000000001</v>
      </c>
      <c r="I241" s="35">
        <f t="shared" si="145"/>
        <v>0.30833333333333335</v>
      </c>
      <c r="J241" s="112">
        <f t="shared" si="133"/>
        <v>0</v>
      </c>
      <c r="K241" s="25">
        <f>((C241-B241)+(E241-D241))</f>
        <v>0</v>
      </c>
      <c r="L241" s="169"/>
      <c r="M241" s="171"/>
      <c r="N241" s="174"/>
      <c r="O241" s="169"/>
      <c r="P241" s="171"/>
      <c r="Q241" s="174"/>
      <c r="R241" s="158"/>
      <c r="S241" s="186"/>
      <c r="T241" s="176"/>
      <c r="U241" s="158"/>
      <c r="V241" s="161"/>
      <c r="W241" s="164"/>
      <c r="X241" s="140"/>
      <c r="Y241" s="140"/>
      <c r="Z241" s="188"/>
      <c r="AA241" s="198"/>
      <c r="AB241" s="77"/>
      <c r="AC241" s="77"/>
      <c r="AD241" s="77"/>
      <c r="AE241" s="77"/>
    </row>
    <row r="242" spans="1:31" x14ac:dyDescent="0.25">
      <c r="A242" s="16">
        <v>44911</v>
      </c>
      <c r="B242" s="12"/>
      <c r="C242" s="11"/>
      <c r="D242" s="12"/>
      <c r="E242" s="11"/>
      <c r="F242" s="35">
        <f>IF(COUNTIF(B242:E242,0)=4,0,IF(COUNTIF(B242:E242,0)=2,$AD$3,$AC$3))</f>
        <v>0.30833333333333335</v>
      </c>
      <c r="G242" s="36">
        <f>IF(COUNTIF(B242:E242,0)=4,0,IF(COUNTIF(B242:E242,0)=2,$AD$7,$AC$7))</f>
        <v>1.6666666666666666E-2</v>
      </c>
      <c r="H242" s="61">
        <f t="shared" si="144"/>
        <v>0.32500000000000001</v>
      </c>
      <c r="I242" s="35">
        <f t="shared" si="145"/>
        <v>0.30833333333333335</v>
      </c>
      <c r="J242" s="112">
        <f t="shared" si="133"/>
        <v>0</v>
      </c>
      <c r="K242" s="25">
        <f>((C242-B242)+(E242-D242))</f>
        <v>0</v>
      </c>
      <c r="L242" s="169"/>
      <c r="M242" s="171"/>
      <c r="N242" s="174"/>
      <c r="O242" s="169"/>
      <c r="P242" s="171"/>
      <c r="Q242" s="174"/>
      <c r="R242" s="158"/>
      <c r="S242" s="186"/>
      <c r="T242" s="176"/>
      <c r="U242" s="158"/>
      <c r="V242" s="161"/>
      <c r="W242" s="164"/>
      <c r="X242" s="140"/>
      <c r="Y242" s="140"/>
      <c r="Z242" s="188"/>
      <c r="AA242" s="198"/>
      <c r="AB242" s="77"/>
      <c r="AC242" s="77"/>
      <c r="AD242" s="77"/>
      <c r="AE242" s="77"/>
    </row>
    <row r="243" spans="1:31" x14ac:dyDescent="0.25">
      <c r="A243" s="16">
        <v>44912</v>
      </c>
      <c r="B243" s="12"/>
      <c r="C243" s="11"/>
      <c r="D243" s="12"/>
      <c r="E243" s="11"/>
      <c r="F243" s="47">
        <f>IF(COUNTIF(B243:E243,0)=4,0,IF(COUNTIF(B243:E243,0)=2,$AD$3,$AC$3))</f>
        <v>0.30833333333333335</v>
      </c>
      <c r="G243" s="48">
        <f>IF(COUNTIF(B243:E243,0)=4,0,IF(COUNTIF(B243:E243,0)=2,$AD$7,$AC$7))</f>
        <v>1.6666666666666666E-2</v>
      </c>
      <c r="H243" s="62">
        <f t="shared" si="144"/>
        <v>0.32500000000000001</v>
      </c>
      <c r="I243" s="47">
        <f t="shared" si="145"/>
        <v>0.30833333333333335</v>
      </c>
      <c r="J243" s="112">
        <f t="shared" ref="J243:J256" si="182">IF(K243-I243&lt;0,0,K243-I243)</f>
        <v>0</v>
      </c>
      <c r="K243" s="49">
        <f>((C243-B243)+(E243-D243))</f>
        <v>0</v>
      </c>
      <c r="L243" s="169"/>
      <c r="M243" s="171"/>
      <c r="N243" s="174"/>
      <c r="O243" s="169"/>
      <c r="P243" s="171"/>
      <c r="Q243" s="174"/>
      <c r="R243" s="158"/>
      <c r="S243" s="186"/>
      <c r="T243" s="176"/>
      <c r="U243" s="158"/>
      <c r="V243" s="161"/>
      <c r="W243" s="164"/>
      <c r="X243" s="140"/>
      <c r="Y243" s="140"/>
      <c r="Z243" s="188"/>
      <c r="AA243" s="198"/>
      <c r="AB243" s="77"/>
      <c r="AC243" s="77"/>
      <c r="AD243" s="77"/>
      <c r="AE243" s="77"/>
    </row>
    <row r="244" spans="1:31" x14ac:dyDescent="0.25">
      <c r="A244" s="18">
        <v>44913</v>
      </c>
      <c r="B244" s="3"/>
      <c r="C244" s="1"/>
      <c r="D244" s="3"/>
      <c r="E244" s="1"/>
      <c r="F244" s="39"/>
      <c r="G244" s="40"/>
      <c r="H244" s="57"/>
      <c r="I244" s="39"/>
      <c r="J244" s="114"/>
      <c r="K244" s="41"/>
      <c r="L244" s="169"/>
      <c r="M244" s="171"/>
      <c r="N244" s="174"/>
      <c r="O244" s="169"/>
      <c r="P244" s="171"/>
      <c r="Q244" s="174"/>
      <c r="R244" s="158"/>
      <c r="S244" s="186"/>
      <c r="T244" s="176"/>
      <c r="U244" s="158"/>
      <c r="V244" s="161"/>
      <c r="W244" s="164"/>
      <c r="X244" s="140"/>
      <c r="Y244" s="140"/>
      <c r="Z244" s="188"/>
      <c r="AA244" s="198"/>
      <c r="AB244" s="77"/>
      <c r="AC244" s="77"/>
      <c r="AD244" s="77"/>
      <c r="AE244" s="77"/>
    </row>
    <row r="245" spans="1:31" x14ac:dyDescent="0.25">
      <c r="A245" s="19">
        <v>44914</v>
      </c>
      <c r="B245" s="4"/>
      <c r="C245" s="2"/>
      <c r="D245" s="4"/>
      <c r="E245" s="2"/>
      <c r="F245" s="42"/>
      <c r="G245" s="43"/>
      <c r="H245" s="58"/>
      <c r="I245" s="42"/>
      <c r="J245" s="115"/>
      <c r="K245" s="44"/>
      <c r="L245" s="170"/>
      <c r="M245" s="172"/>
      <c r="N245" s="175"/>
      <c r="O245" s="170"/>
      <c r="P245" s="172"/>
      <c r="Q245" s="175"/>
      <c r="R245" s="158"/>
      <c r="S245" s="186"/>
      <c r="T245" s="176"/>
      <c r="U245" s="158"/>
      <c r="V245" s="161"/>
      <c r="W245" s="164"/>
      <c r="X245" s="140"/>
      <c r="Y245" s="140"/>
      <c r="Z245" s="188"/>
      <c r="AA245" s="198"/>
      <c r="AB245" s="77"/>
      <c r="AC245" s="77"/>
      <c r="AD245" s="77"/>
      <c r="AE245" s="77"/>
    </row>
    <row r="246" spans="1:31" x14ac:dyDescent="0.25">
      <c r="A246" s="15">
        <v>44915</v>
      </c>
      <c r="B246" s="9"/>
      <c r="C246" s="8"/>
      <c r="D246" s="9"/>
      <c r="E246" s="8"/>
      <c r="F246" s="33">
        <f>IF(COUNTIF(B246:E246,0)=4,0,IF(COUNTIF(B246:E246,0)=2,$AD$3,$AC$3))</f>
        <v>0.30833333333333335</v>
      </c>
      <c r="G246" s="34">
        <f>IF(COUNTIF(B246:E246,0)=4,0,IF(COUNTIF(B246:E246,0)=2,$AD$7,$AC$7))</f>
        <v>1.6666666666666666E-2</v>
      </c>
      <c r="H246" s="60">
        <f t="shared" si="144"/>
        <v>0.32500000000000001</v>
      </c>
      <c r="I246" s="33">
        <f t="shared" si="145"/>
        <v>0.30833333333333335</v>
      </c>
      <c r="J246" s="112">
        <f t="shared" si="182"/>
        <v>0</v>
      </c>
      <c r="K246" s="24">
        <f>((C246-B246)+(E246-D246))</f>
        <v>0</v>
      </c>
      <c r="L246" s="157">
        <f t="shared" ref="L246:M246" si="183">SUM(F246:F252)</f>
        <v>1.2333333333333334</v>
      </c>
      <c r="M246" s="160">
        <f t="shared" si="183"/>
        <v>6.6666666666666666E-2</v>
      </c>
      <c r="N246" s="173">
        <f t="shared" ref="N246" si="184">L246+M246</f>
        <v>1.3</v>
      </c>
      <c r="O246" s="157">
        <f t="shared" ref="O246:P246" si="185">SUM(I246:I252)</f>
        <v>1.2333333333333334</v>
      </c>
      <c r="P246" s="160">
        <f t="shared" si="185"/>
        <v>0</v>
      </c>
      <c r="Q246" s="173">
        <f t="shared" ref="Q246" si="186">O246+P246</f>
        <v>1.2333333333333334</v>
      </c>
      <c r="R246" s="158"/>
      <c r="S246" s="186"/>
      <c r="T246" s="176"/>
      <c r="U246" s="158"/>
      <c r="V246" s="161"/>
      <c r="W246" s="164"/>
      <c r="X246" s="140">
        <f t="shared" ref="X246" si="187">(SUM(G246:G252)*24)*($AC$14+$AC$14*$AD$14)</f>
        <v>52.965800000000002</v>
      </c>
      <c r="Y246" s="140">
        <f t="shared" ref="Y246" si="188">(SUM(J246:J252)*24)*($AC$14+$AC$14*$AD$14)</f>
        <v>0</v>
      </c>
      <c r="Z246" s="188"/>
      <c r="AA246" s="198"/>
      <c r="AB246" s="77"/>
      <c r="AC246" s="77"/>
      <c r="AD246" s="77"/>
      <c r="AE246" s="77"/>
    </row>
    <row r="247" spans="1:31" x14ac:dyDescent="0.25">
      <c r="A247" s="16">
        <v>44916</v>
      </c>
      <c r="B247" s="12"/>
      <c r="C247" s="11"/>
      <c r="D247" s="12"/>
      <c r="E247" s="11"/>
      <c r="F247" s="35">
        <f>IF(COUNTIF(B247:E247,0)=4,0,IF(COUNTIF(B247:E247,0)=2,$AD$3,$AC$3))</f>
        <v>0.30833333333333335</v>
      </c>
      <c r="G247" s="36">
        <f>IF(COUNTIF(B247:E247,0)=4,0,IF(COUNTIF(B247:E247,0)=2,$AD$7,$AC$7))</f>
        <v>1.6666666666666666E-2</v>
      </c>
      <c r="H247" s="61">
        <f t="shared" si="144"/>
        <v>0.32500000000000001</v>
      </c>
      <c r="I247" s="35">
        <f t="shared" si="145"/>
        <v>0.30833333333333335</v>
      </c>
      <c r="J247" s="112">
        <f t="shared" si="182"/>
        <v>0</v>
      </c>
      <c r="K247" s="25">
        <f>((C247-B247)+(E247-D247))</f>
        <v>0</v>
      </c>
      <c r="L247" s="169"/>
      <c r="M247" s="171"/>
      <c r="N247" s="174"/>
      <c r="O247" s="169"/>
      <c r="P247" s="171"/>
      <c r="Q247" s="174"/>
      <c r="R247" s="158"/>
      <c r="S247" s="186"/>
      <c r="T247" s="176"/>
      <c r="U247" s="158"/>
      <c r="V247" s="161"/>
      <c r="W247" s="164"/>
      <c r="X247" s="140"/>
      <c r="Y247" s="140"/>
      <c r="Z247" s="188"/>
      <c r="AA247" s="198"/>
      <c r="AB247" s="77"/>
      <c r="AC247" s="77"/>
      <c r="AD247" s="77"/>
      <c r="AE247" s="77"/>
    </row>
    <row r="248" spans="1:31" x14ac:dyDescent="0.25">
      <c r="A248" s="16">
        <v>44917</v>
      </c>
      <c r="B248" s="12"/>
      <c r="C248" s="11"/>
      <c r="D248" s="12"/>
      <c r="E248" s="11"/>
      <c r="F248" s="35">
        <f>IF(COUNTIF(B248:E248,0)=4,0,IF(COUNTIF(B248:E248,0)=2,$AD$3,$AC$3))</f>
        <v>0.30833333333333335</v>
      </c>
      <c r="G248" s="36">
        <f>IF(COUNTIF(B248:E248,0)=4,0,IF(COUNTIF(B248:E248,0)=2,$AD$7,$AC$7))</f>
        <v>1.6666666666666666E-2</v>
      </c>
      <c r="H248" s="61">
        <f t="shared" si="144"/>
        <v>0.32500000000000001</v>
      </c>
      <c r="I248" s="35">
        <f t="shared" si="145"/>
        <v>0.30833333333333335</v>
      </c>
      <c r="J248" s="112">
        <f t="shared" si="182"/>
        <v>0</v>
      </c>
      <c r="K248" s="25">
        <f>((C248-B248)+(E248-D248))</f>
        <v>0</v>
      </c>
      <c r="L248" s="169"/>
      <c r="M248" s="171"/>
      <c r="N248" s="174"/>
      <c r="O248" s="169"/>
      <c r="P248" s="171"/>
      <c r="Q248" s="174"/>
      <c r="R248" s="158"/>
      <c r="S248" s="186"/>
      <c r="T248" s="176"/>
      <c r="U248" s="158"/>
      <c r="V248" s="161"/>
      <c r="W248" s="164"/>
      <c r="X248" s="140"/>
      <c r="Y248" s="140"/>
      <c r="Z248" s="188"/>
      <c r="AA248" s="198"/>
      <c r="AB248" s="77"/>
      <c r="AC248" s="77"/>
      <c r="AD248" s="77"/>
      <c r="AE248" s="77"/>
    </row>
    <row r="249" spans="1:31" x14ac:dyDescent="0.25">
      <c r="A249" s="16">
        <v>44918</v>
      </c>
      <c r="B249" s="12"/>
      <c r="C249" s="11"/>
      <c r="D249" s="12"/>
      <c r="E249" s="11"/>
      <c r="F249" s="35">
        <f>IF(COUNTIF(B249:E249,0)=4,0,IF(COUNTIF(B249:E249,0)=2,$AD$3,$AC$3))</f>
        <v>0.30833333333333335</v>
      </c>
      <c r="G249" s="36">
        <f>IF(COUNTIF(B249:E249,0)=4,0,IF(COUNTIF(B249:E249,0)=2,$AD$7,$AC$7))</f>
        <v>1.6666666666666666E-2</v>
      </c>
      <c r="H249" s="61">
        <f t="shared" si="144"/>
        <v>0.32500000000000001</v>
      </c>
      <c r="I249" s="35">
        <f t="shared" si="145"/>
        <v>0.30833333333333335</v>
      </c>
      <c r="J249" s="112">
        <f t="shared" si="182"/>
        <v>0</v>
      </c>
      <c r="K249" s="25">
        <f>((C249-B249)+(E249-D249))</f>
        <v>0</v>
      </c>
      <c r="L249" s="169"/>
      <c r="M249" s="171"/>
      <c r="N249" s="174"/>
      <c r="O249" s="169"/>
      <c r="P249" s="171"/>
      <c r="Q249" s="174"/>
      <c r="R249" s="158"/>
      <c r="S249" s="186"/>
      <c r="T249" s="176"/>
      <c r="U249" s="158"/>
      <c r="V249" s="161"/>
      <c r="W249" s="164"/>
      <c r="X249" s="140"/>
      <c r="Y249" s="140"/>
      <c r="Z249" s="188"/>
      <c r="AA249" s="198"/>
      <c r="AB249" s="77"/>
      <c r="AC249" s="77"/>
      <c r="AD249" s="77"/>
      <c r="AE249" s="77"/>
    </row>
    <row r="250" spans="1:31" x14ac:dyDescent="0.25">
      <c r="A250" s="18">
        <v>44919</v>
      </c>
      <c r="B250" s="142" t="s">
        <v>9</v>
      </c>
      <c r="C250" s="143"/>
      <c r="D250" s="143"/>
      <c r="E250" s="144"/>
      <c r="F250" s="39"/>
      <c r="G250" s="40"/>
      <c r="H250" s="57"/>
      <c r="I250" s="118"/>
      <c r="J250" s="68"/>
      <c r="K250" s="27"/>
      <c r="L250" s="169"/>
      <c r="M250" s="171"/>
      <c r="N250" s="174"/>
      <c r="O250" s="169"/>
      <c r="P250" s="171"/>
      <c r="Q250" s="174"/>
      <c r="R250" s="158"/>
      <c r="S250" s="186"/>
      <c r="T250" s="176"/>
      <c r="U250" s="158"/>
      <c r="V250" s="161"/>
      <c r="W250" s="164"/>
      <c r="X250" s="140"/>
      <c r="Y250" s="140"/>
      <c r="Z250" s="188"/>
      <c r="AA250" s="198"/>
      <c r="AB250" s="77"/>
      <c r="AC250" s="77"/>
      <c r="AD250" s="77"/>
      <c r="AE250" s="77"/>
    </row>
    <row r="251" spans="1:31" x14ac:dyDescent="0.25">
      <c r="A251" s="18">
        <v>44920</v>
      </c>
      <c r="B251" s="3"/>
      <c r="C251" s="1"/>
      <c r="D251" s="3"/>
      <c r="E251" s="1"/>
      <c r="F251" s="39"/>
      <c r="G251" s="40"/>
      <c r="H251" s="57"/>
      <c r="I251" s="39"/>
      <c r="J251" s="114"/>
      <c r="K251" s="116"/>
      <c r="L251" s="169"/>
      <c r="M251" s="171"/>
      <c r="N251" s="174"/>
      <c r="O251" s="169"/>
      <c r="P251" s="171"/>
      <c r="Q251" s="174"/>
      <c r="R251" s="158"/>
      <c r="S251" s="186"/>
      <c r="T251" s="176"/>
      <c r="U251" s="158"/>
      <c r="V251" s="161"/>
      <c r="W251" s="164"/>
      <c r="X251" s="140"/>
      <c r="Y251" s="140"/>
      <c r="Z251" s="188"/>
      <c r="AA251" s="198"/>
      <c r="AB251" s="77"/>
      <c r="AC251" s="77"/>
      <c r="AD251" s="77"/>
      <c r="AE251" s="77"/>
    </row>
    <row r="252" spans="1:31" x14ac:dyDescent="0.25">
      <c r="A252" s="19">
        <v>44921</v>
      </c>
      <c r="B252" s="4"/>
      <c r="C252" s="2"/>
      <c r="D252" s="4"/>
      <c r="E252" s="2"/>
      <c r="F252" s="42"/>
      <c r="G252" s="43"/>
      <c r="H252" s="58"/>
      <c r="I252" s="42"/>
      <c r="J252" s="115"/>
      <c r="K252" s="117"/>
      <c r="L252" s="170"/>
      <c r="M252" s="172"/>
      <c r="N252" s="175"/>
      <c r="O252" s="170"/>
      <c r="P252" s="172"/>
      <c r="Q252" s="175"/>
      <c r="R252" s="158"/>
      <c r="S252" s="186"/>
      <c r="T252" s="176"/>
      <c r="U252" s="158"/>
      <c r="V252" s="161"/>
      <c r="W252" s="164"/>
      <c r="X252" s="140"/>
      <c r="Y252" s="140"/>
      <c r="Z252" s="188"/>
      <c r="AA252" s="198"/>
      <c r="AB252" s="77"/>
      <c r="AC252" s="77"/>
      <c r="AD252" s="77"/>
      <c r="AE252" s="77"/>
    </row>
    <row r="253" spans="1:31" x14ac:dyDescent="0.25">
      <c r="A253" s="15">
        <v>44922</v>
      </c>
      <c r="B253" s="9"/>
      <c r="C253" s="8"/>
      <c r="D253" s="9"/>
      <c r="E253" s="8"/>
      <c r="F253" s="33">
        <f>IF(COUNTIF(B253:E253,0)=4,0,IF(COUNTIF(B253:E253,0)=2,$AD$3,$AC$3))</f>
        <v>0.30833333333333335</v>
      </c>
      <c r="G253" s="34">
        <f>IF(COUNTIF(B253:E253,0)=4,0,IF(COUNTIF(B253:E253,0)=2,$AD$7,$AC$7))</f>
        <v>1.6666666666666666E-2</v>
      </c>
      <c r="H253" s="60">
        <f t="shared" si="144"/>
        <v>0.32500000000000001</v>
      </c>
      <c r="I253" s="33">
        <f t="shared" si="145"/>
        <v>0.30833333333333335</v>
      </c>
      <c r="J253" s="112">
        <f t="shared" si="182"/>
        <v>0</v>
      </c>
      <c r="K253" s="24">
        <f>((C253-B253)+(E253-D253))</f>
        <v>0</v>
      </c>
      <c r="L253" s="157">
        <f>SUM(F253:F256)</f>
        <v>1.2333333333333334</v>
      </c>
      <c r="M253" s="160">
        <f>SUM(G253:G256)</f>
        <v>6.6666666666666666E-2</v>
      </c>
      <c r="N253" s="173">
        <f>L253+M253</f>
        <v>1.3</v>
      </c>
      <c r="O253" s="157">
        <f>SUM(I253:I256)</f>
        <v>1.2333333333333334</v>
      </c>
      <c r="P253" s="160">
        <f>SUM(J253:J256)</f>
        <v>0</v>
      </c>
      <c r="Q253" s="173">
        <f>O253+P253</f>
        <v>1.2333333333333334</v>
      </c>
      <c r="R253" s="158"/>
      <c r="S253" s="186"/>
      <c r="T253" s="176"/>
      <c r="U253" s="158"/>
      <c r="V253" s="161"/>
      <c r="W253" s="164"/>
      <c r="X253" s="140">
        <f>(SUM(G253:G256)*24)*($AC$14+$AC$14*$AD$14)</f>
        <v>52.965800000000002</v>
      </c>
      <c r="Y253" s="140">
        <f>(SUM(J253:J256)*24)*($AC$14+$AC$14*$AD$14)</f>
        <v>0</v>
      </c>
      <c r="Z253" s="188"/>
      <c r="AA253" s="198"/>
      <c r="AB253" s="77"/>
      <c r="AC253" s="77"/>
      <c r="AD253" s="77"/>
      <c r="AE253" s="77"/>
    </row>
    <row r="254" spans="1:31" x14ac:dyDescent="0.25">
      <c r="A254" s="16">
        <v>44923</v>
      </c>
      <c r="B254" s="12"/>
      <c r="C254" s="11"/>
      <c r="D254" s="12"/>
      <c r="E254" s="11"/>
      <c r="F254" s="35">
        <f>IF(COUNTIF(B254:E254,0)=4,0,IF(COUNTIF(B254:E254,0)=2,$AD$3,$AC$3))</f>
        <v>0.30833333333333335</v>
      </c>
      <c r="G254" s="36">
        <f>IF(COUNTIF(B254:E254,0)=4,0,IF(COUNTIF(B254:E254,0)=2,$AD$7,$AC$7))</f>
        <v>1.6666666666666666E-2</v>
      </c>
      <c r="H254" s="61">
        <f t="shared" si="144"/>
        <v>0.32500000000000001</v>
      </c>
      <c r="I254" s="35">
        <f t="shared" si="145"/>
        <v>0.30833333333333335</v>
      </c>
      <c r="J254" s="112">
        <f t="shared" si="182"/>
        <v>0</v>
      </c>
      <c r="K254" s="25">
        <f>((C254-B254)+(E254-D254))</f>
        <v>0</v>
      </c>
      <c r="L254" s="169"/>
      <c r="M254" s="171"/>
      <c r="N254" s="174"/>
      <c r="O254" s="169"/>
      <c r="P254" s="171"/>
      <c r="Q254" s="174"/>
      <c r="R254" s="158"/>
      <c r="S254" s="186"/>
      <c r="T254" s="176"/>
      <c r="U254" s="158"/>
      <c r="V254" s="161"/>
      <c r="W254" s="164"/>
      <c r="X254" s="140"/>
      <c r="Y254" s="140"/>
      <c r="Z254" s="188"/>
      <c r="AA254" s="198"/>
      <c r="AB254" s="77"/>
      <c r="AC254" s="77"/>
      <c r="AD254" s="77"/>
      <c r="AE254" s="77"/>
    </row>
    <row r="255" spans="1:31" x14ac:dyDescent="0.25">
      <c r="A255" s="16">
        <v>44924</v>
      </c>
      <c r="B255" s="12"/>
      <c r="C255" s="11"/>
      <c r="D255" s="12"/>
      <c r="E255" s="11"/>
      <c r="F255" s="35">
        <f>IF(COUNTIF(B255:E255,0)=4,0,IF(COUNTIF(B255:E255,0)=2,$AD$3,$AC$3))</f>
        <v>0.30833333333333335</v>
      </c>
      <c r="G255" s="36">
        <f>IF(COUNTIF(B255:E255,0)=4,0,IF(COUNTIF(B255:E255,0)=2,$AD$7,$AC$7))</f>
        <v>1.6666666666666666E-2</v>
      </c>
      <c r="H255" s="61">
        <f t="shared" si="144"/>
        <v>0.32500000000000001</v>
      </c>
      <c r="I255" s="35">
        <f t="shared" si="145"/>
        <v>0.30833333333333335</v>
      </c>
      <c r="J255" s="112">
        <f t="shared" si="182"/>
        <v>0</v>
      </c>
      <c r="K255" s="25">
        <f>((C255-B255)+(E255-D255))</f>
        <v>0</v>
      </c>
      <c r="L255" s="169"/>
      <c r="M255" s="171"/>
      <c r="N255" s="174"/>
      <c r="O255" s="169"/>
      <c r="P255" s="171"/>
      <c r="Q255" s="174"/>
      <c r="R255" s="158"/>
      <c r="S255" s="186"/>
      <c r="T255" s="176"/>
      <c r="U255" s="158"/>
      <c r="V255" s="161"/>
      <c r="W255" s="164"/>
      <c r="X255" s="140"/>
      <c r="Y255" s="140"/>
      <c r="Z255" s="188"/>
      <c r="AA255" s="198"/>
      <c r="AB255" s="77"/>
      <c r="AC255" s="77"/>
      <c r="AD255" s="77"/>
      <c r="AE255" s="77"/>
    </row>
    <row r="256" spans="1:31" x14ac:dyDescent="0.25">
      <c r="A256" s="17">
        <v>44925</v>
      </c>
      <c r="B256" s="13"/>
      <c r="C256" s="14"/>
      <c r="D256" s="13"/>
      <c r="E256" s="14"/>
      <c r="F256" s="37">
        <f>IF(COUNTIF(B256:E256,0)=4,0,IF(COUNTIF(B256:E256,0)=2,$AD$3,$AC$3))</f>
        <v>0.30833333333333335</v>
      </c>
      <c r="G256" s="38">
        <f>IF(COUNTIF(B256:E256,0)=4,0,IF(COUNTIF(B256:E256,0)=2,$AD$7,$AC$7))</f>
        <v>1.6666666666666666E-2</v>
      </c>
      <c r="H256" s="63">
        <f t="shared" si="144"/>
        <v>0.32500000000000001</v>
      </c>
      <c r="I256" s="37">
        <f t="shared" si="145"/>
        <v>0.30833333333333335</v>
      </c>
      <c r="J256" s="113">
        <f t="shared" si="182"/>
        <v>0</v>
      </c>
      <c r="K256" s="26">
        <f>((C256-B256)+(E256-D256))</f>
        <v>0</v>
      </c>
      <c r="L256" s="170"/>
      <c r="M256" s="172"/>
      <c r="N256" s="175"/>
      <c r="O256" s="170"/>
      <c r="P256" s="171"/>
      <c r="Q256" s="175"/>
      <c r="R256" s="159"/>
      <c r="S256" s="187"/>
      <c r="T256" s="177"/>
      <c r="U256" s="159"/>
      <c r="V256" s="162"/>
      <c r="W256" s="165"/>
      <c r="X256" s="140"/>
      <c r="Y256" s="140"/>
      <c r="Z256" s="188"/>
      <c r="AA256" s="198"/>
      <c r="AB256" s="77"/>
      <c r="AC256" s="77"/>
      <c r="AD256" s="77"/>
      <c r="AE256" s="77"/>
    </row>
    <row r="257" spans="6:27" x14ac:dyDescent="0.25">
      <c r="F257" s="23">
        <f>SUM(F3:F256)</f>
        <v>53.958333333333115</v>
      </c>
      <c r="G257" s="64">
        <f t="shared" ref="G257:AA257" si="189">SUM(G3:G256)</f>
        <v>2.9166666666666612</v>
      </c>
      <c r="H257" s="65">
        <f t="shared" si="189"/>
        <v>56.875000000000171</v>
      </c>
      <c r="I257" s="23">
        <f t="shared" si="189"/>
        <v>53.958333333333115</v>
      </c>
      <c r="J257" s="64">
        <f t="shared" si="189"/>
        <v>0.56527777777777699</v>
      </c>
      <c r="K257" s="65">
        <f t="shared" si="189"/>
        <v>6.4236111111111107</v>
      </c>
      <c r="L257" s="66">
        <f t="shared" ref="L257" si="190">SUM(L3:L256)</f>
        <v>53.958333333333321</v>
      </c>
      <c r="M257" s="64">
        <f t="shared" ref="M257" si="191">SUM(M3:M256)</f>
        <v>2.9166666666666679</v>
      </c>
      <c r="N257" s="67">
        <f t="shared" ref="N257" si="192">SUM(N3:N256)</f>
        <v>56.874999999999993</v>
      </c>
      <c r="O257" s="66">
        <f t="shared" ref="O257" si="193">SUM(O3:O256)</f>
        <v>53.958333333333321</v>
      </c>
      <c r="P257" s="64">
        <f t="shared" ref="P257" si="194">SUM(P3:P256)</f>
        <v>0.56527777777777688</v>
      </c>
      <c r="Q257" s="67">
        <f t="shared" ref="Q257" si="195">SUM(Q3:Q256)</f>
        <v>54.523611111111094</v>
      </c>
      <c r="R257" s="23">
        <f t="shared" si="189"/>
        <v>53.958333333333364</v>
      </c>
      <c r="S257" s="64">
        <f t="shared" si="189"/>
        <v>2.916666666666667</v>
      </c>
      <c r="T257" s="65">
        <f t="shared" si="189"/>
        <v>56.875000000000028</v>
      </c>
      <c r="U257" s="23">
        <f t="shared" si="189"/>
        <v>53.958333333333364</v>
      </c>
      <c r="V257" s="64">
        <f t="shared" si="189"/>
        <v>0.56527777777777688</v>
      </c>
      <c r="W257" s="65">
        <f t="shared" si="189"/>
        <v>54.523611111111144</v>
      </c>
      <c r="X257" s="76">
        <f>SUM(X3:X256)</f>
        <v>2317.2537499999989</v>
      </c>
      <c r="Y257" s="76">
        <f>SUM(Y3:Y256)</f>
        <v>449.10584583333269</v>
      </c>
      <c r="Z257" s="76">
        <f t="shared" si="189"/>
        <v>449.10584583333269</v>
      </c>
      <c r="AA257" s="82">
        <f t="shared" si="189"/>
        <v>0</v>
      </c>
    </row>
  </sheetData>
  <mergeCells count="420">
    <mergeCell ref="AB99:AB103"/>
    <mergeCell ref="AB104:AB105"/>
    <mergeCell ref="AB106:AB112"/>
    <mergeCell ref="AB113:AB119"/>
    <mergeCell ref="AB120:AB126"/>
    <mergeCell ref="AB127:AB133"/>
    <mergeCell ref="AB135:AB140"/>
    <mergeCell ref="AB43:AB49"/>
    <mergeCell ref="AB50:AB56"/>
    <mergeCell ref="AB57:AB63"/>
    <mergeCell ref="AB64:AB70"/>
    <mergeCell ref="AB71:AB72"/>
    <mergeCell ref="AB73:AB77"/>
    <mergeCell ref="AB78:AB84"/>
    <mergeCell ref="AB85:AB91"/>
    <mergeCell ref="AB92:AB98"/>
    <mergeCell ref="X239:X245"/>
    <mergeCell ref="X246:X252"/>
    <mergeCell ref="X253:X256"/>
    <mergeCell ref="X197:X203"/>
    <mergeCell ref="X204:X210"/>
    <mergeCell ref="X211:X217"/>
    <mergeCell ref="X218:X224"/>
    <mergeCell ref="X226:X231"/>
    <mergeCell ref="X232:X238"/>
    <mergeCell ref="X162:X164"/>
    <mergeCell ref="X165:X168"/>
    <mergeCell ref="X169:X175"/>
    <mergeCell ref="X176:X182"/>
    <mergeCell ref="X183:X189"/>
    <mergeCell ref="X190:X195"/>
    <mergeCell ref="X120:X126"/>
    <mergeCell ref="X127:X133"/>
    <mergeCell ref="X135:X140"/>
    <mergeCell ref="X141:X147"/>
    <mergeCell ref="X148:X154"/>
    <mergeCell ref="X155:X161"/>
    <mergeCell ref="X99:X103"/>
    <mergeCell ref="X104:X105"/>
    <mergeCell ref="X106:X112"/>
    <mergeCell ref="X113:X119"/>
    <mergeCell ref="X50:X56"/>
    <mergeCell ref="X57:X63"/>
    <mergeCell ref="X64:X70"/>
    <mergeCell ref="X71:X72"/>
    <mergeCell ref="X73:X77"/>
    <mergeCell ref="X78:X84"/>
    <mergeCell ref="Y50:Y56"/>
    <mergeCell ref="Y57:Y63"/>
    <mergeCell ref="Y64:Y70"/>
    <mergeCell ref="Y71:Y72"/>
    <mergeCell ref="Y73:Y77"/>
    <mergeCell ref="Y78:Y84"/>
    <mergeCell ref="Y85:Y91"/>
    <mergeCell ref="X85:X91"/>
    <mergeCell ref="X92:X98"/>
    <mergeCell ref="Y92:Y98"/>
    <mergeCell ref="X12:X14"/>
    <mergeCell ref="X15:X21"/>
    <mergeCell ref="X22:X28"/>
    <mergeCell ref="X29:X35"/>
    <mergeCell ref="X36:X42"/>
    <mergeCell ref="X43:X49"/>
    <mergeCell ref="Y3:Y7"/>
    <mergeCell ref="Y8:Y11"/>
    <mergeCell ref="Y12:Y14"/>
    <mergeCell ref="Y15:Y21"/>
    <mergeCell ref="Y22:Y28"/>
    <mergeCell ref="Y29:Y35"/>
    <mergeCell ref="Y36:Y42"/>
    <mergeCell ref="Y43:Y49"/>
    <mergeCell ref="Q253:Q256"/>
    <mergeCell ref="AA1:AA2"/>
    <mergeCell ref="AA43:AA72"/>
    <mergeCell ref="AA73:AA103"/>
    <mergeCell ref="AA104:AA134"/>
    <mergeCell ref="AA135:AA164"/>
    <mergeCell ref="AA165:AA195"/>
    <mergeCell ref="AA196:AA225"/>
    <mergeCell ref="Q246:Q252"/>
    <mergeCell ref="Q3:Q7"/>
    <mergeCell ref="R135:R164"/>
    <mergeCell ref="S135:S164"/>
    <mergeCell ref="R104:R134"/>
    <mergeCell ref="S104:S134"/>
    <mergeCell ref="T104:T134"/>
    <mergeCell ref="U104:U134"/>
    <mergeCell ref="R73:R103"/>
    <mergeCell ref="S73:S103"/>
    <mergeCell ref="T73:T103"/>
    <mergeCell ref="U73:U103"/>
    <mergeCell ref="V73:V103"/>
    <mergeCell ref="W73:W103"/>
    <mergeCell ref="R43:R72"/>
    <mergeCell ref="AA226:AA256"/>
    <mergeCell ref="L253:L256"/>
    <mergeCell ref="M253:M256"/>
    <mergeCell ref="N253:N256"/>
    <mergeCell ref="O253:O256"/>
    <mergeCell ref="L246:L252"/>
    <mergeCell ref="M246:M252"/>
    <mergeCell ref="N246:N252"/>
    <mergeCell ref="O246:O252"/>
    <mergeCell ref="P246:P252"/>
    <mergeCell ref="P253:P256"/>
    <mergeCell ref="L239:L245"/>
    <mergeCell ref="M239:M245"/>
    <mergeCell ref="N239:N245"/>
    <mergeCell ref="O239:O245"/>
    <mergeCell ref="P239:P245"/>
    <mergeCell ref="Q239:Q245"/>
    <mergeCell ref="L232:L238"/>
    <mergeCell ref="M232:M238"/>
    <mergeCell ref="N232:N238"/>
    <mergeCell ref="O232:O238"/>
    <mergeCell ref="P232:P238"/>
    <mergeCell ref="Q232:Q238"/>
    <mergeCell ref="L225:L231"/>
    <mergeCell ref="M225:M231"/>
    <mergeCell ref="N225:N231"/>
    <mergeCell ref="O225:O231"/>
    <mergeCell ref="P225:P231"/>
    <mergeCell ref="Q225:Q231"/>
    <mergeCell ref="L218:L224"/>
    <mergeCell ref="M218:M224"/>
    <mergeCell ref="N218:N224"/>
    <mergeCell ref="O218:O224"/>
    <mergeCell ref="P218:P224"/>
    <mergeCell ref="Q218:Q224"/>
    <mergeCell ref="L211:L217"/>
    <mergeCell ref="M211:M217"/>
    <mergeCell ref="N211:N217"/>
    <mergeCell ref="O211:O217"/>
    <mergeCell ref="P211:P217"/>
    <mergeCell ref="Q211:Q217"/>
    <mergeCell ref="L204:L210"/>
    <mergeCell ref="M204:M210"/>
    <mergeCell ref="N204:N210"/>
    <mergeCell ref="O204:O210"/>
    <mergeCell ref="P204:P210"/>
    <mergeCell ref="Q204:Q210"/>
    <mergeCell ref="L197:L203"/>
    <mergeCell ref="M197:M203"/>
    <mergeCell ref="N197:N203"/>
    <mergeCell ref="O197:O203"/>
    <mergeCell ref="P197:P203"/>
    <mergeCell ref="Q197:Q203"/>
    <mergeCell ref="L190:L196"/>
    <mergeCell ref="M190:M196"/>
    <mergeCell ref="N190:N196"/>
    <mergeCell ref="O190:O196"/>
    <mergeCell ref="P190:P196"/>
    <mergeCell ref="Q190:Q196"/>
    <mergeCell ref="L183:L189"/>
    <mergeCell ref="M183:M189"/>
    <mergeCell ref="N183:N189"/>
    <mergeCell ref="O183:O189"/>
    <mergeCell ref="P183:P189"/>
    <mergeCell ref="Q183:Q189"/>
    <mergeCell ref="L176:L182"/>
    <mergeCell ref="M176:M182"/>
    <mergeCell ref="N176:N182"/>
    <mergeCell ref="O176:O182"/>
    <mergeCell ref="P176:P182"/>
    <mergeCell ref="Q176:Q182"/>
    <mergeCell ref="L169:L175"/>
    <mergeCell ref="M169:M175"/>
    <mergeCell ref="N169:N175"/>
    <mergeCell ref="O169:O175"/>
    <mergeCell ref="P169:P175"/>
    <mergeCell ref="Q169:Q175"/>
    <mergeCell ref="L162:L168"/>
    <mergeCell ref="M162:M168"/>
    <mergeCell ref="N162:N168"/>
    <mergeCell ref="O162:O168"/>
    <mergeCell ref="P162:P168"/>
    <mergeCell ref="Q162:Q168"/>
    <mergeCell ref="L155:L161"/>
    <mergeCell ref="M155:M161"/>
    <mergeCell ref="N155:N161"/>
    <mergeCell ref="O155:O161"/>
    <mergeCell ref="P155:P161"/>
    <mergeCell ref="Q155:Q161"/>
    <mergeCell ref="L148:L154"/>
    <mergeCell ref="M148:M154"/>
    <mergeCell ref="N148:N154"/>
    <mergeCell ref="O148:O154"/>
    <mergeCell ref="P148:P154"/>
    <mergeCell ref="Q148:Q154"/>
    <mergeCell ref="L141:L147"/>
    <mergeCell ref="M141:M147"/>
    <mergeCell ref="N141:N147"/>
    <mergeCell ref="O141:O147"/>
    <mergeCell ref="P141:P147"/>
    <mergeCell ref="Q141:Q147"/>
    <mergeCell ref="L134:L140"/>
    <mergeCell ref="M134:M140"/>
    <mergeCell ref="N134:N140"/>
    <mergeCell ref="O134:O140"/>
    <mergeCell ref="P134:P140"/>
    <mergeCell ref="Q134:Q140"/>
    <mergeCell ref="L127:L133"/>
    <mergeCell ref="M127:M133"/>
    <mergeCell ref="N127:N133"/>
    <mergeCell ref="O127:O133"/>
    <mergeCell ref="P127:P133"/>
    <mergeCell ref="Q127:Q133"/>
    <mergeCell ref="L120:L126"/>
    <mergeCell ref="M120:M126"/>
    <mergeCell ref="N120:N126"/>
    <mergeCell ref="O120:O126"/>
    <mergeCell ref="P120:P126"/>
    <mergeCell ref="Q120:Q126"/>
    <mergeCell ref="L113:L119"/>
    <mergeCell ref="M113:M119"/>
    <mergeCell ref="N113:N119"/>
    <mergeCell ref="O113:O119"/>
    <mergeCell ref="P113:P119"/>
    <mergeCell ref="Q113:Q119"/>
    <mergeCell ref="L106:L112"/>
    <mergeCell ref="M106:M112"/>
    <mergeCell ref="N106:N112"/>
    <mergeCell ref="O106:O112"/>
    <mergeCell ref="P106:P112"/>
    <mergeCell ref="Q106:Q112"/>
    <mergeCell ref="L99:L105"/>
    <mergeCell ref="M99:M105"/>
    <mergeCell ref="N99:N105"/>
    <mergeCell ref="O99:O105"/>
    <mergeCell ref="P99:P105"/>
    <mergeCell ref="Q99:Q105"/>
    <mergeCell ref="L92:L98"/>
    <mergeCell ref="M92:M98"/>
    <mergeCell ref="N92:N98"/>
    <mergeCell ref="O92:O98"/>
    <mergeCell ref="P92:P98"/>
    <mergeCell ref="Q92:Q98"/>
    <mergeCell ref="L85:L91"/>
    <mergeCell ref="M85:M91"/>
    <mergeCell ref="N85:N91"/>
    <mergeCell ref="O85:O91"/>
    <mergeCell ref="P85:P91"/>
    <mergeCell ref="Q85:Q91"/>
    <mergeCell ref="L78:L84"/>
    <mergeCell ref="M78:M84"/>
    <mergeCell ref="N78:N84"/>
    <mergeCell ref="O78:O84"/>
    <mergeCell ref="P78:P84"/>
    <mergeCell ref="Q78:Q84"/>
    <mergeCell ref="L71:L77"/>
    <mergeCell ref="M71:M77"/>
    <mergeCell ref="N71:N77"/>
    <mergeCell ref="O71:O77"/>
    <mergeCell ref="P71:P77"/>
    <mergeCell ref="Q71:Q77"/>
    <mergeCell ref="L64:L70"/>
    <mergeCell ref="M64:M70"/>
    <mergeCell ref="N64:N70"/>
    <mergeCell ref="O64:O70"/>
    <mergeCell ref="P64:P70"/>
    <mergeCell ref="Q64:Q70"/>
    <mergeCell ref="L57:L63"/>
    <mergeCell ref="M57:M63"/>
    <mergeCell ref="N57:N63"/>
    <mergeCell ref="O57:O63"/>
    <mergeCell ref="P57:P63"/>
    <mergeCell ref="Q57:Q63"/>
    <mergeCell ref="L50:L56"/>
    <mergeCell ref="M50:M56"/>
    <mergeCell ref="N50:N56"/>
    <mergeCell ref="O50:O56"/>
    <mergeCell ref="P50:P56"/>
    <mergeCell ref="Q50:Q56"/>
    <mergeCell ref="L22:L28"/>
    <mergeCell ref="M22:M28"/>
    <mergeCell ref="N22:N28"/>
    <mergeCell ref="O22:O28"/>
    <mergeCell ref="P22:P28"/>
    <mergeCell ref="Q22:Q28"/>
    <mergeCell ref="L43:L49"/>
    <mergeCell ref="M43:M49"/>
    <mergeCell ref="N43:N49"/>
    <mergeCell ref="O43:O49"/>
    <mergeCell ref="P43:P49"/>
    <mergeCell ref="Q43:Q49"/>
    <mergeCell ref="L36:L42"/>
    <mergeCell ref="M36:M42"/>
    <mergeCell ref="N36:N42"/>
    <mergeCell ref="O36:O42"/>
    <mergeCell ref="P36:P42"/>
    <mergeCell ref="Q36:Q42"/>
    <mergeCell ref="L1:N1"/>
    <mergeCell ref="O1:Q1"/>
    <mergeCell ref="Z135:Z164"/>
    <mergeCell ref="Z165:Z195"/>
    <mergeCell ref="Z196:Z225"/>
    <mergeCell ref="Z43:Z72"/>
    <mergeCell ref="Z73:Z103"/>
    <mergeCell ref="Z104:Z134"/>
    <mergeCell ref="R165:R195"/>
    <mergeCell ref="S165:S195"/>
    <mergeCell ref="T165:T195"/>
    <mergeCell ref="U165:U195"/>
    <mergeCell ref="V165:V195"/>
    <mergeCell ref="W165:W195"/>
    <mergeCell ref="V104:V134"/>
    <mergeCell ref="W104:W134"/>
    <mergeCell ref="L8:L14"/>
    <mergeCell ref="M8:M14"/>
    <mergeCell ref="N8:N14"/>
    <mergeCell ref="L3:L7"/>
    <mergeCell ref="M3:M7"/>
    <mergeCell ref="N3:N7"/>
    <mergeCell ref="O3:O7"/>
    <mergeCell ref="Q29:Q35"/>
    <mergeCell ref="X1:Z1"/>
    <mergeCell ref="Z3:Z11"/>
    <mergeCell ref="AA3:AA11"/>
    <mergeCell ref="Z12:Z42"/>
    <mergeCell ref="AA12:AA42"/>
    <mergeCell ref="R226:R256"/>
    <mergeCell ref="S226:S256"/>
    <mergeCell ref="T226:T256"/>
    <mergeCell ref="U226:U256"/>
    <mergeCell ref="V226:V256"/>
    <mergeCell ref="W226:W256"/>
    <mergeCell ref="R196:R225"/>
    <mergeCell ref="S196:S225"/>
    <mergeCell ref="T196:T225"/>
    <mergeCell ref="U196:U225"/>
    <mergeCell ref="V196:V225"/>
    <mergeCell ref="W196:W225"/>
    <mergeCell ref="T135:T164"/>
    <mergeCell ref="U135:U164"/>
    <mergeCell ref="V135:V164"/>
    <mergeCell ref="W135:W164"/>
    <mergeCell ref="Z226:Z256"/>
    <mergeCell ref="X3:X7"/>
    <mergeCell ref="X8:X11"/>
    <mergeCell ref="S43:S72"/>
    <mergeCell ref="T43:T72"/>
    <mergeCell ref="U43:U72"/>
    <mergeCell ref="V43:V72"/>
    <mergeCell ref="W43:W72"/>
    <mergeCell ref="R12:R42"/>
    <mergeCell ref="S12:S42"/>
    <mergeCell ref="T12:T42"/>
    <mergeCell ref="U12:U42"/>
    <mergeCell ref="V12:V42"/>
    <mergeCell ref="W12:W42"/>
    <mergeCell ref="R1:T1"/>
    <mergeCell ref="U1:W1"/>
    <mergeCell ref="R3:R11"/>
    <mergeCell ref="S3:S11"/>
    <mergeCell ref="T3:T11"/>
    <mergeCell ref="U3:U11"/>
    <mergeCell ref="V3:V11"/>
    <mergeCell ref="W3:W11"/>
    <mergeCell ref="B36:E36"/>
    <mergeCell ref="L15:L21"/>
    <mergeCell ref="M15:M21"/>
    <mergeCell ref="N15:N21"/>
    <mergeCell ref="O15:O21"/>
    <mergeCell ref="P15:P21"/>
    <mergeCell ref="Q15:Q21"/>
    <mergeCell ref="Q8:Q14"/>
    <mergeCell ref="P3:P7"/>
    <mergeCell ref="O8:O14"/>
    <mergeCell ref="P8:P14"/>
    <mergeCell ref="L29:L35"/>
    <mergeCell ref="M29:M35"/>
    <mergeCell ref="N29:N35"/>
    <mergeCell ref="O29:O35"/>
    <mergeCell ref="P29:P35"/>
    <mergeCell ref="B86:E86"/>
    <mergeCell ref="B206:E206"/>
    <mergeCell ref="B250:E250"/>
    <mergeCell ref="B1:E1"/>
    <mergeCell ref="F1:H1"/>
    <mergeCell ref="I1:K1"/>
    <mergeCell ref="A1:A2"/>
    <mergeCell ref="B12:E12"/>
    <mergeCell ref="B19:E19"/>
    <mergeCell ref="B25:E25"/>
    <mergeCell ref="Y99:Y103"/>
    <mergeCell ref="Y104:Y105"/>
    <mergeCell ref="Y106:Y112"/>
    <mergeCell ref="Y113:Y119"/>
    <mergeCell ref="Y120:Y126"/>
    <mergeCell ref="Y127:Y133"/>
    <mergeCell ref="Y135:Y140"/>
    <mergeCell ref="Y141:Y147"/>
    <mergeCell ref="Y204:Y210"/>
    <mergeCell ref="Y211:Y217"/>
    <mergeCell ref="Y218:Y224"/>
    <mergeCell ref="Y226:Y231"/>
    <mergeCell ref="Y232:Y238"/>
    <mergeCell ref="Y239:Y245"/>
    <mergeCell ref="Y246:Y252"/>
    <mergeCell ref="Y253:Y256"/>
    <mergeCell ref="Y148:Y154"/>
    <mergeCell ref="Y155:Y161"/>
    <mergeCell ref="Y162:Y164"/>
    <mergeCell ref="Y165:Y168"/>
    <mergeCell ref="Y169:Y175"/>
    <mergeCell ref="Y176:Y182"/>
    <mergeCell ref="Y183:Y189"/>
    <mergeCell ref="Y190:Y195"/>
    <mergeCell ref="Y197:Y203"/>
    <mergeCell ref="AB3:AB7"/>
    <mergeCell ref="AB8:AB11"/>
    <mergeCell ref="AB12:AB14"/>
    <mergeCell ref="AB15:AB21"/>
    <mergeCell ref="AB22:AB28"/>
    <mergeCell ref="AB29:AB35"/>
    <mergeCell ref="AB36:AB42"/>
    <mergeCell ref="AB1:AE1"/>
    <mergeCell ref="AE3:AE42"/>
    <mergeCell ref="AC5:AD5"/>
    <mergeCell ref="AC9:AD9"/>
  </mergeCells>
  <conditionalFormatting sqref="Q3:Q7">
    <cfRule type="cellIs" dxfId="57" priority="59" operator="greaterThan">
      <formula>$O$3</formula>
    </cfRule>
    <cfRule type="cellIs" dxfId="56" priority="60" operator="lessThan">
      <formula>$O$3</formula>
    </cfRule>
  </conditionalFormatting>
  <conditionalFormatting sqref="Q8:Q252">
    <cfRule type="cellIs" dxfId="55" priority="57" operator="greaterThanOrEqual">
      <formula>$O$8</formula>
    </cfRule>
    <cfRule type="cellIs" dxfId="54" priority="58" operator="lessThan">
      <formula>$O$8</formula>
    </cfRule>
  </conditionalFormatting>
  <conditionalFormatting sqref="Q253:Q256">
    <cfRule type="cellIs" dxfId="53" priority="55" operator="lessThan">
      <formula>$O$253</formula>
    </cfRule>
    <cfRule type="cellIs" dxfId="52" priority="56" operator="greaterThanOrEqual">
      <formula>$O$253</formula>
    </cfRule>
  </conditionalFormatting>
  <conditionalFormatting sqref="W3:W11">
    <cfRule type="cellIs" dxfId="51" priority="51" operator="lessThan">
      <formula>$T$3</formula>
    </cfRule>
    <cfRule type="cellIs" dxfId="50" priority="52" operator="greaterThan">
      <formula>$T$3</formula>
    </cfRule>
  </conditionalFormatting>
  <conditionalFormatting sqref="V3:V11">
    <cfRule type="cellIs" dxfId="49" priority="49" operator="lessThan">
      <formula>$S$3</formula>
    </cfRule>
    <cfRule type="cellIs" dxfId="48" priority="50" operator="greaterThan">
      <formula>$S$3</formula>
    </cfRule>
  </conditionalFormatting>
  <conditionalFormatting sqref="W12:W42">
    <cfRule type="cellIs" dxfId="47" priority="47" operator="lessThan">
      <formula>$T$12</formula>
    </cfRule>
    <cfRule type="cellIs" dxfId="46" priority="48" operator="greaterThan">
      <formula>$T$12</formula>
    </cfRule>
  </conditionalFormatting>
  <conditionalFormatting sqref="V12:V42">
    <cfRule type="cellIs" dxfId="45" priority="45" operator="lessThan">
      <formula>$S$12</formula>
    </cfRule>
    <cfRule type="cellIs" dxfId="44" priority="46" operator="greaterThan">
      <formula>$S$12</formula>
    </cfRule>
  </conditionalFormatting>
  <conditionalFormatting sqref="W73:W103">
    <cfRule type="cellIs" dxfId="43" priority="43" operator="lessThan">
      <formula>$T$12</formula>
    </cfRule>
    <cfRule type="cellIs" dxfId="42" priority="44" operator="greaterThan">
      <formula>$T$12</formula>
    </cfRule>
  </conditionalFormatting>
  <conditionalFormatting sqref="V73:V103">
    <cfRule type="cellIs" dxfId="41" priority="41" operator="lessThan">
      <formula>$S$12</formula>
    </cfRule>
    <cfRule type="cellIs" dxfId="40" priority="42" operator="greaterThan">
      <formula>$S$12</formula>
    </cfRule>
  </conditionalFormatting>
  <conditionalFormatting sqref="W104:W134">
    <cfRule type="cellIs" dxfId="39" priority="39" operator="lessThan">
      <formula>$T$12</formula>
    </cfRule>
    <cfRule type="cellIs" dxfId="38" priority="40" operator="greaterThan">
      <formula>$T$12</formula>
    </cfRule>
  </conditionalFormatting>
  <conditionalFormatting sqref="V104:V134">
    <cfRule type="cellIs" dxfId="37" priority="37" operator="lessThan">
      <formula>$S$12</formula>
    </cfRule>
    <cfRule type="cellIs" dxfId="36" priority="38" operator="greaterThan">
      <formula>$S$12</formula>
    </cfRule>
  </conditionalFormatting>
  <conditionalFormatting sqref="W165:W195">
    <cfRule type="cellIs" dxfId="35" priority="35" operator="lessThan">
      <formula>$T$12</formula>
    </cfRule>
    <cfRule type="cellIs" dxfId="34" priority="36" operator="greaterThan">
      <formula>$T$12</formula>
    </cfRule>
  </conditionalFormatting>
  <conditionalFormatting sqref="V165:V195">
    <cfRule type="cellIs" dxfId="33" priority="33" operator="lessThan">
      <formula>$S$12</formula>
    </cfRule>
    <cfRule type="cellIs" dxfId="32" priority="34" operator="greaterThan">
      <formula>$S$12</formula>
    </cfRule>
  </conditionalFormatting>
  <conditionalFormatting sqref="W226:W256">
    <cfRule type="cellIs" dxfId="31" priority="31" operator="lessThan">
      <formula>$T$12</formula>
    </cfRule>
    <cfRule type="cellIs" dxfId="30" priority="32" operator="greaterThan">
      <formula>$T$12</formula>
    </cfRule>
  </conditionalFormatting>
  <conditionalFormatting sqref="V226:V256">
    <cfRule type="cellIs" dxfId="29" priority="29" operator="lessThan">
      <formula>$S$12</formula>
    </cfRule>
    <cfRule type="cellIs" dxfId="28" priority="30" operator="greaterThan">
      <formula>$S$12</formula>
    </cfRule>
  </conditionalFormatting>
  <conditionalFormatting sqref="W196:W225">
    <cfRule type="cellIs" dxfId="27" priority="27" operator="lessThan">
      <formula>$T$196</formula>
    </cfRule>
    <cfRule type="cellIs" dxfId="26" priority="28" operator="greaterThan">
      <formula>$T$196</formula>
    </cfRule>
  </conditionalFormatting>
  <conditionalFormatting sqref="V196:V225">
    <cfRule type="cellIs" dxfId="25" priority="25" operator="lessThan">
      <formula>$S$196</formula>
    </cfRule>
    <cfRule type="cellIs" dxfId="24" priority="26" operator="greaterThan">
      <formula>$S$196</formula>
    </cfRule>
  </conditionalFormatting>
  <conditionalFormatting sqref="W135:W164">
    <cfRule type="cellIs" dxfId="23" priority="23" operator="lessThan">
      <formula>$T$196</formula>
    </cfRule>
    <cfRule type="cellIs" dxfId="22" priority="24" operator="greaterThan">
      <formula>$T$196</formula>
    </cfRule>
  </conditionalFormatting>
  <conditionalFormatting sqref="V135:V164">
    <cfRule type="cellIs" dxfId="21" priority="21" operator="lessThan">
      <formula>$S$196</formula>
    </cfRule>
    <cfRule type="cellIs" dxfId="20" priority="22" operator="greaterThan">
      <formula>$S$196</formula>
    </cfRule>
  </conditionalFormatting>
  <conditionalFormatting sqref="W43:W72">
    <cfRule type="cellIs" dxfId="19" priority="19" operator="lessThan">
      <formula>$T$196</formula>
    </cfRule>
    <cfRule type="cellIs" dxfId="18" priority="20" operator="greaterThan">
      <formula>$T$196</formula>
    </cfRule>
  </conditionalFormatting>
  <conditionalFormatting sqref="V43:V72">
    <cfRule type="cellIs" dxfId="17" priority="17" operator="lessThan">
      <formula>$S$196</formula>
    </cfRule>
    <cfRule type="cellIs" dxfId="16" priority="18" operator="greaterThan">
      <formula>$S$196</formula>
    </cfRule>
  </conditionalFormatting>
  <conditionalFormatting sqref="P3:P7">
    <cfRule type="cellIs" dxfId="15" priority="15" operator="lessThan">
      <formula>$M$3</formula>
    </cfRule>
    <cfRule type="cellIs" dxfId="14" priority="16" operator="greaterThan">
      <formula>$M$3</formula>
    </cfRule>
  </conditionalFormatting>
  <conditionalFormatting sqref="P8:P14">
    <cfRule type="cellIs" dxfId="13" priority="13" operator="lessThan">
      <formula>$M$8</formula>
    </cfRule>
    <cfRule type="cellIs" dxfId="12" priority="14" operator="greaterThan">
      <formula>$M$8</formula>
    </cfRule>
  </conditionalFormatting>
  <conditionalFormatting sqref="P15:P256">
    <cfRule type="cellIs" dxfId="11" priority="11" operator="lessThan">
      <formula>M8</formula>
    </cfRule>
    <cfRule type="cellIs" dxfId="10" priority="12" operator="greaterThan">
      <formula>$M$8</formula>
    </cfRule>
  </conditionalFormatting>
  <conditionalFormatting sqref="Q257">
    <cfRule type="cellIs" dxfId="9" priority="9" operator="lessThan">
      <formula>$N$257</formula>
    </cfRule>
    <cfRule type="cellIs" dxfId="8" priority="10" operator="greaterThan">
      <formula>$N$257</formula>
    </cfRule>
  </conditionalFormatting>
  <conditionalFormatting sqref="P257">
    <cfRule type="cellIs" dxfId="7" priority="7" operator="lessThan">
      <formula>$M$257</formula>
    </cfRule>
    <cfRule type="cellIs" dxfId="6" priority="8" operator="greaterThan">
      <formula>$M$257</formula>
    </cfRule>
  </conditionalFormatting>
  <conditionalFormatting sqref="W257">
    <cfRule type="cellIs" dxfId="5" priority="5" operator="lessThan">
      <formula>$T$257</formula>
    </cfRule>
    <cfRule type="cellIs" dxfId="4" priority="6" operator="greaterThan">
      <formula>$T$257</formula>
    </cfRule>
  </conditionalFormatting>
  <conditionalFormatting sqref="V257">
    <cfRule type="cellIs" dxfId="3" priority="3" operator="lessThan">
      <formula>$S$257</formula>
    </cfRule>
    <cfRule type="cellIs" dxfId="2" priority="4" operator="greaterThan">
      <formula>$S$257</formula>
    </cfRule>
  </conditionalFormatting>
  <conditionalFormatting sqref="P22:P28">
    <cfRule type="cellIs" dxfId="1" priority="1" operator="lessThan">
      <formula>$M$22</formula>
    </cfRule>
    <cfRule type="cellIs" dxfId="0" priority="2" operator="greaterThan">
      <formula>$M$22</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AFAFE-1984-45EA-A83E-7E0BBAA9FF40}">
  <dimension ref="A1:M127"/>
  <sheetViews>
    <sheetView topLeftCell="A7" zoomScaleNormal="100" workbookViewId="0">
      <selection activeCell="D33" sqref="D33"/>
    </sheetView>
  </sheetViews>
  <sheetFormatPr baseColWidth="10" defaultRowHeight="15" x14ac:dyDescent="0.25"/>
  <cols>
    <col min="2" max="5" width="7.28515625" customWidth="1"/>
    <col min="6" max="7" width="7.28515625" style="91" customWidth="1"/>
    <col min="8" max="8" width="16.7109375" bestFit="1" customWidth="1"/>
    <col min="9" max="9" width="15.5703125" bestFit="1" customWidth="1"/>
    <col min="11" max="11" width="12.140625" hidden="1" customWidth="1"/>
    <col min="12" max="12" width="12.28515625" hidden="1" customWidth="1"/>
  </cols>
  <sheetData>
    <row r="1" spans="1:12" x14ac:dyDescent="0.25">
      <c r="A1" s="154"/>
      <c r="B1" s="218" t="s">
        <v>37</v>
      </c>
      <c r="C1" s="219"/>
      <c r="D1" s="219"/>
      <c r="E1" s="220"/>
      <c r="F1" s="213" t="s">
        <v>38</v>
      </c>
      <c r="G1" s="213"/>
      <c r="H1" s="142" t="s">
        <v>46</v>
      </c>
      <c r="I1" s="144"/>
      <c r="K1" s="107" t="s">
        <v>21</v>
      </c>
      <c r="L1" s="108" t="s">
        <v>22</v>
      </c>
    </row>
    <row r="2" spans="1:12" x14ac:dyDescent="0.25">
      <c r="A2" s="217"/>
      <c r="B2" s="97" t="s">
        <v>0</v>
      </c>
      <c r="C2" s="98" t="s">
        <v>1</v>
      </c>
      <c r="D2" s="98" t="s">
        <v>0</v>
      </c>
      <c r="E2" s="99" t="s">
        <v>1</v>
      </c>
      <c r="F2" s="98" t="s">
        <v>16</v>
      </c>
      <c r="G2" s="100" t="s">
        <v>34</v>
      </c>
      <c r="H2" s="98" t="s">
        <v>43</v>
      </c>
      <c r="I2" s="101" t="s">
        <v>47</v>
      </c>
      <c r="K2" s="90">
        <v>26.482900000000001</v>
      </c>
      <c r="L2" s="90">
        <f>25/100</f>
        <v>0.25</v>
      </c>
    </row>
    <row r="3" spans="1:12" x14ac:dyDescent="0.25">
      <c r="A3" s="15">
        <v>44672</v>
      </c>
      <c r="B3" s="7">
        <v>0.36458333333333331</v>
      </c>
      <c r="C3" s="8">
        <v>0.50347222222222221</v>
      </c>
      <c r="D3" s="9">
        <v>0.52430555555555558</v>
      </c>
      <c r="E3" s="8">
        <v>0.72569444444444442</v>
      </c>
      <c r="F3" s="9">
        <f>G3-$K$5</f>
        <v>3.1944444444444386E-2</v>
      </c>
      <c r="G3" s="28">
        <f>(C3-B3)+(E3-D3)</f>
        <v>0.34027777777777773</v>
      </c>
      <c r="H3" s="214">
        <f>(SUM(F3:F11))*24</f>
        <v>5.3333333333333233</v>
      </c>
      <c r="I3" s="208">
        <f>H3*(K2+K2*L2)</f>
        <v>176.55266666666634</v>
      </c>
    </row>
    <row r="4" spans="1:12" x14ac:dyDescent="0.25">
      <c r="A4" s="16">
        <v>44673</v>
      </c>
      <c r="B4" s="10">
        <v>0.30902777777777779</v>
      </c>
      <c r="C4" s="11">
        <v>0.5</v>
      </c>
      <c r="D4" s="12">
        <v>0.52083333333333337</v>
      </c>
      <c r="E4" s="11">
        <v>0.66666666666666663</v>
      </c>
      <c r="F4" s="12">
        <f t="shared" ref="F4:F29" si="0">G4-$K$5</f>
        <v>2.8472222222222121E-2</v>
      </c>
      <c r="G4" s="28">
        <f>(C4-B4)+(E4-D4)</f>
        <v>0.33680555555555547</v>
      </c>
      <c r="H4" s="215"/>
      <c r="I4" s="209"/>
      <c r="K4" s="108" t="s">
        <v>35</v>
      </c>
      <c r="L4" s="108" t="s">
        <v>36</v>
      </c>
    </row>
    <row r="5" spans="1:12" x14ac:dyDescent="0.25">
      <c r="A5" s="16">
        <v>44674</v>
      </c>
      <c r="B5" s="10">
        <v>0.30902777777777779</v>
      </c>
      <c r="C5" s="11">
        <v>0.51041666666666663</v>
      </c>
      <c r="D5" s="12">
        <v>0.53125</v>
      </c>
      <c r="E5" s="11">
        <v>0.67152777777777772</v>
      </c>
      <c r="F5" s="12">
        <f t="shared" si="0"/>
        <v>3.3333333333333215E-2</v>
      </c>
      <c r="G5" s="28">
        <f>(C5-B5)+(E5-D5)</f>
        <v>0.34166666666666656</v>
      </c>
      <c r="H5" s="215"/>
      <c r="I5" s="209"/>
      <c r="K5" s="104">
        <v>0.30833333333333335</v>
      </c>
      <c r="L5" s="104">
        <v>1.6666666666666666E-2</v>
      </c>
    </row>
    <row r="6" spans="1:12" x14ac:dyDescent="0.25">
      <c r="A6" s="18">
        <v>44675</v>
      </c>
      <c r="B6" s="5"/>
      <c r="C6" s="1"/>
      <c r="D6" s="3"/>
      <c r="E6" s="1"/>
      <c r="F6" s="21"/>
      <c r="G6" s="92"/>
      <c r="H6" s="215"/>
      <c r="I6" s="209"/>
    </row>
    <row r="7" spans="1:12" x14ac:dyDescent="0.25">
      <c r="A7" s="19">
        <v>44676</v>
      </c>
      <c r="B7" s="6"/>
      <c r="C7" s="2"/>
      <c r="D7" s="4"/>
      <c r="E7" s="2"/>
      <c r="F7" s="106"/>
      <c r="G7" s="94"/>
      <c r="H7" s="215"/>
      <c r="I7" s="209"/>
      <c r="K7" s="199" t="s">
        <v>42</v>
      </c>
      <c r="L7" s="200"/>
    </row>
    <row r="8" spans="1:12" x14ac:dyDescent="0.25">
      <c r="A8" s="15">
        <v>44677</v>
      </c>
      <c r="B8" s="7">
        <v>0.31041666666666667</v>
      </c>
      <c r="C8" s="8">
        <v>0.48958333333333331</v>
      </c>
      <c r="D8" s="12">
        <v>0.51111111111111107</v>
      </c>
      <c r="E8" s="11">
        <v>0.66805555555555551</v>
      </c>
      <c r="F8" s="12">
        <f t="shared" si="0"/>
        <v>2.7777777777777735E-2</v>
      </c>
      <c r="G8" s="28">
        <f>(C8-B8)+(E8-D8)</f>
        <v>0.33611111111111108</v>
      </c>
      <c r="H8" s="215"/>
      <c r="I8" s="209"/>
      <c r="K8" s="109" t="s">
        <v>39</v>
      </c>
      <c r="L8" s="109" t="s">
        <v>40</v>
      </c>
    </row>
    <row r="9" spans="1:12" x14ac:dyDescent="0.25">
      <c r="A9" s="16">
        <v>44678</v>
      </c>
      <c r="B9" s="10">
        <v>0.31111111111111112</v>
      </c>
      <c r="C9" s="11">
        <v>0.51041666666666663</v>
      </c>
      <c r="D9" s="12">
        <v>0.53125</v>
      </c>
      <c r="E9" s="11">
        <v>0.66805555555555551</v>
      </c>
      <c r="F9" s="12">
        <f t="shared" si="0"/>
        <v>2.7777777777777679E-2</v>
      </c>
      <c r="G9" s="28">
        <f>(C9-B9)+(E9-D9)</f>
        <v>0.33611111111111103</v>
      </c>
      <c r="H9" s="215"/>
      <c r="I9" s="209"/>
    </row>
    <row r="10" spans="1:12" x14ac:dyDescent="0.25">
      <c r="A10" s="16">
        <v>44679</v>
      </c>
      <c r="B10" s="10">
        <v>0.3034722222222222</v>
      </c>
      <c r="C10" s="11">
        <v>0.50347222222222221</v>
      </c>
      <c r="D10" s="12">
        <v>0.52430555555555558</v>
      </c>
      <c r="E10" s="11">
        <v>0.66736111111111107</v>
      </c>
      <c r="F10" s="12">
        <f t="shared" si="0"/>
        <v>3.4722222222222154E-2</v>
      </c>
      <c r="G10" s="28">
        <f>(C10-B10)+(E10-D10)</f>
        <v>0.3430555555555555</v>
      </c>
      <c r="H10" s="215"/>
      <c r="I10" s="209"/>
    </row>
    <row r="11" spans="1:12" x14ac:dyDescent="0.25">
      <c r="A11" s="16">
        <v>44680</v>
      </c>
      <c r="B11" s="10">
        <v>0.30555555555555558</v>
      </c>
      <c r="C11" s="11">
        <v>0.51736111111111116</v>
      </c>
      <c r="D11" s="12">
        <v>0.53819444444444442</v>
      </c>
      <c r="E11" s="11">
        <v>0.67291666666666672</v>
      </c>
      <c r="F11" s="12">
        <f t="shared" si="0"/>
        <v>3.8194444444444531E-2</v>
      </c>
      <c r="G11" s="28">
        <f>(C11-B11)+(E11-D11)</f>
        <v>0.34652777777777788</v>
      </c>
      <c r="H11" s="215"/>
      <c r="I11" s="209"/>
    </row>
    <row r="12" spans="1:12" x14ac:dyDescent="0.25">
      <c r="A12" s="18">
        <v>44681</v>
      </c>
      <c r="B12" s="142" t="s">
        <v>4</v>
      </c>
      <c r="C12" s="143"/>
      <c r="D12" s="143"/>
      <c r="E12" s="143"/>
      <c r="F12" s="143"/>
      <c r="G12" s="144"/>
      <c r="H12" s="214">
        <f>(SUM(F12:F42))*24</f>
        <v>8.2333333333333236</v>
      </c>
      <c r="I12" s="208">
        <f>H12*($K$2+$K$2*$L$2)</f>
        <v>272.55317916666633</v>
      </c>
    </row>
    <row r="13" spans="1:12" x14ac:dyDescent="0.25">
      <c r="A13" s="18">
        <v>44682</v>
      </c>
      <c r="B13" s="5"/>
      <c r="C13" s="1"/>
      <c r="D13" s="3"/>
      <c r="E13" s="1"/>
      <c r="F13" s="21"/>
      <c r="G13" s="22"/>
      <c r="H13" s="215"/>
      <c r="I13" s="209"/>
    </row>
    <row r="14" spans="1:12" x14ac:dyDescent="0.25">
      <c r="A14" s="19">
        <v>44683</v>
      </c>
      <c r="B14" s="6"/>
      <c r="C14" s="2"/>
      <c r="D14" s="4"/>
      <c r="E14" s="2"/>
      <c r="F14" s="106"/>
      <c r="G14" s="96"/>
      <c r="H14" s="215"/>
      <c r="I14" s="209"/>
    </row>
    <row r="15" spans="1:12" x14ac:dyDescent="0.25">
      <c r="A15" s="15">
        <v>44684</v>
      </c>
      <c r="B15" s="9">
        <v>0.31597222222222221</v>
      </c>
      <c r="C15" s="8">
        <v>0.50624999999999998</v>
      </c>
      <c r="D15" s="9">
        <v>0.52708333333333335</v>
      </c>
      <c r="E15" s="8">
        <v>0.66805555555555551</v>
      </c>
      <c r="F15" s="12">
        <f t="shared" si="0"/>
        <v>2.2916666666666585E-2</v>
      </c>
      <c r="G15" s="28">
        <f>(C15-B15)+(E15-D15)</f>
        <v>0.33124999999999993</v>
      </c>
      <c r="H15" s="215"/>
      <c r="I15" s="209"/>
    </row>
    <row r="16" spans="1:12" x14ac:dyDescent="0.25">
      <c r="A16" s="16">
        <v>44685</v>
      </c>
      <c r="B16" s="12">
        <v>0.31111111111111112</v>
      </c>
      <c r="C16" s="11">
        <v>0.47986111111111113</v>
      </c>
      <c r="D16" s="12">
        <v>0.50486111111111109</v>
      </c>
      <c r="E16" s="11">
        <v>0.6694444444444444</v>
      </c>
      <c r="F16" s="12">
        <f t="shared" si="0"/>
        <v>2.4999999999999967E-2</v>
      </c>
      <c r="G16" s="28">
        <f>(C16-B16)+(E16-D16)</f>
        <v>0.33333333333333331</v>
      </c>
      <c r="H16" s="215"/>
      <c r="I16" s="209"/>
    </row>
    <row r="17" spans="1:13" x14ac:dyDescent="0.25">
      <c r="A17" s="16">
        <v>44686</v>
      </c>
      <c r="B17" s="12">
        <v>0.30694444444444446</v>
      </c>
      <c r="C17" s="11">
        <v>0.51736111111111116</v>
      </c>
      <c r="D17" s="12">
        <v>0.55763888888888891</v>
      </c>
      <c r="E17" s="11">
        <v>0.67361111111111116</v>
      </c>
      <c r="F17" s="12">
        <f t="shared" si="0"/>
        <v>1.8055555555555602E-2</v>
      </c>
      <c r="G17" s="28">
        <f>(C17-B17)+(E17-D17)</f>
        <v>0.32638888888888895</v>
      </c>
      <c r="H17" s="215"/>
      <c r="I17" s="209"/>
    </row>
    <row r="18" spans="1:13" x14ac:dyDescent="0.25">
      <c r="A18" s="16">
        <v>44687</v>
      </c>
      <c r="B18" s="12">
        <v>0.30902777777777779</v>
      </c>
      <c r="C18" s="11">
        <v>0.51041666666666663</v>
      </c>
      <c r="D18" s="12">
        <v>0.53125</v>
      </c>
      <c r="E18" s="11">
        <v>0.6694444444444444</v>
      </c>
      <c r="F18" s="12">
        <f t="shared" si="0"/>
        <v>3.1249999999999889E-2</v>
      </c>
      <c r="G18" s="28">
        <f>(C18-B18)+(E18-D18)</f>
        <v>0.33958333333333324</v>
      </c>
      <c r="H18" s="215"/>
      <c r="I18" s="209"/>
    </row>
    <row r="19" spans="1:13" x14ac:dyDescent="0.25">
      <c r="A19" s="18">
        <v>44688</v>
      </c>
      <c r="B19" s="142" t="s">
        <v>5</v>
      </c>
      <c r="C19" s="143"/>
      <c r="D19" s="143"/>
      <c r="E19" s="143"/>
      <c r="F19" s="143"/>
      <c r="G19" s="144"/>
      <c r="H19" s="215"/>
      <c r="I19" s="209"/>
    </row>
    <row r="20" spans="1:13" x14ac:dyDescent="0.25">
      <c r="A20" s="18">
        <v>44689</v>
      </c>
      <c r="B20" s="3"/>
      <c r="C20" s="1"/>
      <c r="D20" s="3"/>
      <c r="E20" s="1"/>
      <c r="F20" s="21"/>
      <c r="G20" s="95"/>
      <c r="H20" s="215"/>
      <c r="I20" s="209"/>
    </row>
    <row r="21" spans="1:13" x14ac:dyDescent="0.25">
      <c r="A21" s="19">
        <v>44690</v>
      </c>
      <c r="B21" s="4"/>
      <c r="C21" s="2"/>
      <c r="D21" s="4"/>
      <c r="E21" s="2"/>
      <c r="F21" s="106"/>
      <c r="G21" s="96"/>
      <c r="H21" s="215"/>
      <c r="I21" s="209"/>
    </row>
    <row r="22" spans="1:13" x14ac:dyDescent="0.25">
      <c r="A22" s="15">
        <v>44691</v>
      </c>
      <c r="B22" s="9">
        <v>0.30972222222222223</v>
      </c>
      <c r="C22" s="8">
        <v>0.52083333333333337</v>
      </c>
      <c r="D22" s="9">
        <v>0.54166666666666663</v>
      </c>
      <c r="E22" s="8">
        <v>0.66736111111111107</v>
      </c>
      <c r="F22" s="12">
        <f t="shared" si="0"/>
        <v>2.8472222222222232E-2</v>
      </c>
      <c r="G22" s="28">
        <f>(C22-B22)+(E22-D22)</f>
        <v>0.33680555555555558</v>
      </c>
      <c r="H22" s="215"/>
      <c r="I22" s="209"/>
    </row>
    <row r="23" spans="1:13" x14ac:dyDescent="0.25">
      <c r="A23" s="16">
        <v>44692</v>
      </c>
      <c r="B23" s="12">
        <v>0.30972222222222223</v>
      </c>
      <c r="C23" s="11">
        <v>0.50069444444444444</v>
      </c>
      <c r="D23" s="12">
        <v>0.52152777777777781</v>
      </c>
      <c r="E23" s="11">
        <v>0.66805555555555551</v>
      </c>
      <c r="F23" s="12">
        <f t="shared" si="0"/>
        <v>2.9166666666666563E-2</v>
      </c>
      <c r="G23" s="28">
        <f>(C23-B23)+(E23-D23)</f>
        <v>0.33749999999999991</v>
      </c>
      <c r="H23" s="215"/>
      <c r="I23" s="209"/>
    </row>
    <row r="24" spans="1:13" x14ac:dyDescent="0.25">
      <c r="A24" s="16">
        <v>44693</v>
      </c>
      <c r="B24" s="12">
        <v>0.3125</v>
      </c>
      <c r="C24" s="11">
        <v>0.51041666666666663</v>
      </c>
      <c r="D24" s="12">
        <v>0.53125</v>
      </c>
      <c r="E24" s="11">
        <v>0.67986111111111114</v>
      </c>
      <c r="F24" s="12">
        <f t="shared" si="0"/>
        <v>3.819444444444442E-2</v>
      </c>
      <c r="G24" s="28">
        <f>(C24-B24)+(E24-D24)</f>
        <v>0.34652777777777777</v>
      </c>
      <c r="H24" s="215"/>
      <c r="I24" s="209"/>
      <c r="M24" s="79"/>
    </row>
    <row r="25" spans="1:13" x14ac:dyDescent="0.25">
      <c r="A25" s="18">
        <v>44694</v>
      </c>
      <c r="B25" s="142" t="s">
        <v>3</v>
      </c>
      <c r="C25" s="143"/>
      <c r="D25" s="143"/>
      <c r="E25" s="143"/>
      <c r="F25" s="143"/>
      <c r="G25" s="144"/>
      <c r="H25" s="215"/>
      <c r="I25" s="209"/>
      <c r="M25" s="79"/>
    </row>
    <row r="26" spans="1:13" x14ac:dyDescent="0.25">
      <c r="A26" s="16">
        <v>44695</v>
      </c>
      <c r="B26" s="12">
        <v>0.30902777777777779</v>
      </c>
      <c r="C26" s="11">
        <v>0.52083333333333337</v>
      </c>
      <c r="D26" s="12">
        <v>0.54166666666666663</v>
      </c>
      <c r="E26" s="11">
        <v>0.66805555555555551</v>
      </c>
      <c r="F26" s="12">
        <f t="shared" si="0"/>
        <v>2.9861111111111116E-2</v>
      </c>
      <c r="G26" s="28">
        <f>(C26-B26)+(E26-D26)</f>
        <v>0.33819444444444446</v>
      </c>
      <c r="H26" s="215"/>
      <c r="I26" s="209"/>
    </row>
    <row r="27" spans="1:13" x14ac:dyDescent="0.25">
      <c r="A27" s="18">
        <v>44696</v>
      </c>
      <c r="B27" s="3"/>
      <c r="C27" s="1"/>
      <c r="D27" s="3"/>
      <c r="E27" s="1"/>
      <c r="F27" s="21"/>
      <c r="G27" s="92"/>
      <c r="H27" s="215"/>
      <c r="I27" s="209"/>
    </row>
    <row r="28" spans="1:13" x14ac:dyDescent="0.25">
      <c r="A28" s="19">
        <v>44697</v>
      </c>
      <c r="B28" s="4"/>
      <c r="C28" s="2"/>
      <c r="D28" s="4"/>
      <c r="E28" s="2"/>
      <c r="F28" s="106"/>
      <c r="G28" s="94"/>
      <c r="H28" s="215"/>
      <c r="I28" s="209"/>
    </row>
    <row r="29" spans="1:13" x14ac:dyDescent="0.25">
      <c r="A29" s="15">
        <v>44698</v>
      </c>
      <c r="B29" s="9">
        <v>0.31041666666666667</v>
      </c>
      <c r="C29" s="8">
        <v>0.52083333333333337</v>
      </c>
      <c r="D29" s="9">
        <v>0.54166666666666663</v>
      </c>
      <c r="E29" s="8">
        <v>0.6694444444444444</v>
      </c>
      <c r="F29" s="12">
        <f t="shared" si="0"/>
        <v>2.9861111111111116E-2</v>
      </c>
      <c r="G29" s="28">
        <f>(C29-B29)+(E29-D29)</f>
        <v>0.33819444444444446</v>
      </c>
      <c r="H29" s="215"/>
      <c r="I29" s="209"/>
    </row>
    <row r="30" spans="1:13" x14ac:dyDescent="0.25">
      <c r="A30" s="16">
        <v>44699</v>
      </c>
      <c r="B30" s="12">
        <v>0.38750000000000001</v>
      </c>
      <c r="C30" s="120">
        <v>0.55208333333333337</v>
      </c>
      <c r="D30" s="12">
        <v>0.57291666666666663</v>
      </c>
      <c r="E30" s="120">
        <v>0.75486111111111109</v>
      </c>
      <c r="F30" s="12">
        <f t="shared" ref="F30" si="1">G30-$K$5</f>
        <v>3.8194444444444475E-2</v>
      </c>
      <c r="G30" s="28">
        <f>(C30-B30)+(E30-D30)</f>
        <v>0.34652777777777782</v>
      </c>
      <c r="H30" s="215"/>
      <c r="I30" s="209"/>
    </row>
    <row r="31" spans="1:13" x14ac:dyDescent="0.25">
      <c r="A31" s="16">
        <v>44700</v>
      </c>
      <c r="B31" s="12">
        <v>0.31458333333333333</v>
      </c>
      <c r="C31" s="120">
        <v>0.49861111111111112</v>
      </c>
      <c r="D31" s="12">
        <v>0.51944444444444449</v>
      </c>
      <c r="E31" s="11">
        <v>0.66874999999999996</v>
      </c>
      <c r="F31" s="12">
        <f t="shared" ref="F31" si="2">G31-$K$5</f>
        <v>2.4999999999999911E-2</v>
      </c>
      <c r="G31" s="28">
        <f>(C31-B31)+(E31-D31)</f>
        <v>0.33333333333333326</v>
      </c>
      <c r="H31" s="215"/>
      <c r="I31" s="209"/>
    </row>
    <row r="32" spans="1:13" x14ac:dyDescent="0.25">
      <c r="A32" s="16">
        <v>44701</v>
      </c>
      <c r="B32" s="12">
        <v>0.31041666666666667</v>
      </c>
      <c r="C32" s="11">
        <v>0.54166666666666663</v>
      </c>
      <c r="D32" s="12">
        <v>0.5625</v>
      </c>
      <c r="E32" s="11">
        <v>0.66666666666666663</v>
      </c>
      <c r="F32" s="12">
        <f t="shared" ref="F32" si="3">G32-$K$5</f>
        <v>2.7083333333333237E-2</v>
      </c>
      <c r="G32" s="28">
        <f>(C32-B32)+(E32-D32)</f>
        <v>0.33541666666666659</v>
      </c>
      <c r="H32" s="215"/>
      <c r="I32" s="209"/>
    </row>
    <row r="33" spans="1:9" x14ac:dyDescent="0.25">
      <c r="A33" s="16">
        <v>44702</v>
      </c>
      <c r="B33" s="12"/>
      <c r="C33" s="11"/>
      <c r="D33" s="12"/>
      <c r="E33" s="11"/>
      <c r="F33" s="12"/>
      <c r="G33" s="28"/>
      <c r="H33" s="215"/>
      <c r="I33" s="209"/>
    </row>
    <row r="34" spans="1:9" x14ac:dyDescent="0.25">
      <c r="A34" s="18">
        <v>44703</v>
      </c>
      <c r="B34" s="3"/>
      <c r="C34" s="1"/>
      <c r="D34" s="3"/>
      <c r="E34" s="1"/>
      <c r="F34" s="21"/>
      <c r="G34" s="93"/>
      <c r="H34" s="215"/>
      <c r="I34" s="209"/>
    </row>
    <row r="35" spans="1:9" x14ac:dyDescent="0.25">
      <c r="A35" s="19">
        <v>44704</v>
      </c>
      <c r="B35" s="4"/>
      <c r="C35" s="2"/>
      <c r="D35" s="4"/>
      <c r="E35" s="2"/>
      <c r="F35" s="21"/>
      <c r="G35" s="93"/>
      <c r="H35" s="215"/>
      <c r="I35" s="209"/>
    </row>
    <row r="36" spans="1:9" x14ac:dyDescent="0.25">
      <c r="A36" s="20">
        <v>44705</v>
      </c>
      <c r="B36" s="142"/>
      <c r="C36" s="143"/>
      <c r="D36" s="143"/>
      <c r="E36" s="143"/>
      <c r="F36" s="143"/>
      <c r="G36" s="144"/>
      <c r="H36" s="215"/>
      <c r="I36" s="209"/>
    </row>
    <row r="37" spans="1:9" x14ac:dyDescent="0.25">
      <c r="A37" s="16">
        <v>44706</v>
      </c>
      <c r="B37" s="9"/>
      <c r="C37" s="8"/>
      <c r="D37" s="9"/>
      <c r="E37" s="8"/>
      <c r="F37" s="12"/>
      <c r="G37" s="28"/>
      <c r="H37" s="215"/>
      <c r="I37" s="209"/>
    </row>
    <row r="38" spans="1:9" x14ac:dyDescent="0.25">
      <c r="A38" s="16">
        <v>44707</v>
      </c>
      <c r="B38" s="12"/>
      <c r="C38" s="11"/>
      <c r="D38" s="12"/>
      <c r="E38" s="11"/>
      <c r="F38" s="12"/>
      <c r="G38" s="28"/>
      <c r="H38" s="215"/>
      <c r="I38" s="209"/>
    </row>
    <row r="39" spans="1:9" x14ac:dyDescent="0.25">
      <c r="A39" s="16">
        <v>44708</v>
      </c>
      <c r="B39" s="12"/>
      <c r="C39" s="11"/>
      <c r="D39" s="12"/>
      <c r="E39" s="11"/>
      <c r="F39" s="12"/>
      <c r="G39" s="28"/>
      <c r="H39" s="215"/>
      <c r="I39" s="209"/>
    </row>
    <row r="40" spans="1:9" x14ac:dyDescent="0.25">
      <c r="A40" s="16">
        <v>44709</v>
      </c>
      <c r="B40" s="12"/>
      <c r="C40" s="11"/>
      <c r="D40" s="12"/>
      <c r="E40" s="11"/>
      <c r="F40" s="12"/>
      <c r="G40" s="28"/>
      <c r="H40" s="215"/>
      <c r="I40" s="209"/>
    </row>
    <row r="41" spans="1:9" x14ac:dyDescent="0.25">
      <c r="A41" s="18">
        <v>44710</v>
      </c>
      <c r="B41" s="21"/>
      <c r="C41" s="22"/>
      <c r="D41" s="21"/>
      <c r="E41" s="22"/>
      <c r="F41" s="21"/>
      <c r="G41" s="92"/>
      <c r="H41" s="215"/>
      <c r="I41" s="209"/>
    </row>
    <row r="42" spans="1:9" x14ac:dyDescent="0.25">
      <c r="A42" s="19">
        <v>44711</v>
      </c>
      <c r="B42" s="4"/>
      <c r="C42" s="2"/>
      <c r="D42" s="4"/>
      <c r="E42" s="2"/>
      <c r="F42" s="106"/>
      <c r="G42" s="94"/>
      <c r="H42" s="216"/>
      <c r="I42" s="210"/>
    </row>
    <row r="43" spans="1:9" x14ac:dyDescent="0.25">
      <c r="A43" s="15">
        <v>44712</v>
      </c>
      <c r="B43" s="9"/>
      <c r="C43" s="8"/>
      <c r="D43" s="9"/>
      <c r="E43" s="8"/>
      <c r="F43" s="12"/>
      <c r="G43" s="28"/>
      <c r="H43" s="204">
        <f>(SUM(F43:F72))*24</f>
        <v>0</v>
      </c>
      <c r="I43" s="207">
        <f>H43*($K$2+$K$2*$L$2)</f>
        <v>0</v>
      </c>
    </row>
    <row r="44" spans="1:9" x14ac:dyDescent="0.25">
      <c r="A44" s="16">
        <v>44713</v>
      </c>
      <c r="B44" s="12"/>
      <c r="C44" s="11"/>
      <c r="D44" s="12"/>
      <c r="E44" s="11"/>
      <c r="F44" s="12"/>
      <c r="G44" s="28"/>
      <c r="H44" s="204"/>
      <c r="I44" s="207"/>
    </row>
    <row r="45" spans="1:9" x14ac:dyDescent="0.25">
      <c r="A45" s="16">
        <v>44714</v>
      </c>
      <c r="B45" s="12"/>
      <c r="C45" s="11"/>
      <c r="D45" s="12"/>
      <c r="E45" s="11"/>
      <c r="F45" s="12"/>
      <c r="G45" s="28"/>
      <c r="H45" s="204"/>
      <c r="I45" s="207"/>
    </row>
    <row r="46" spans="1:9" x14ac:dyDescent="0.25">
      <c r="A46" s="16">
        <v>44715</v>
      </c>
      <c r="B46" s="12"/>
      <c r="C46" s="11"/>
      <c r="D46" s="12"/>
      <c r="E46" s="11"/>
      <c r="F46" s="12"/>
      <c r="G46" s="28"/>
      <c r="H46" s="204"/>
      <c r="I46" s="207"/>
    </row>
    <row r="47" spans="1:9" x14ac:dyDescent="0.25">
      <c r="A47" s="16">
        <v>44716</v>
      </c>
      <c r="B47" s="12"/>
      <c r="C47" s="11"/>
      <c r="D47" s="12"/>
      <c r="E47" s="11"/>
      <c r="F47" s="12"/>
      <c r="G47" s="28"/>
      <c r="H47" s="204"/>
      <c r="I47" s="207"/>
    </row>
    <row r="48" spans="1:9" x14ac:dyDescent="0.25">
      <c r="A48" s="18">
        <v>44717</v>
      </c>
      <c r="B48" s="3"/>
      <c r="C48" s="1"/>
      <c r="D48" s="3"/>
      <c r="E48" s="1"/>
      <c r="F48" s="21"/>
      <c r="G48" s="92"/>
      <c r="H48" s="204"/>
      <c r="I48" s="207"/>
    </row>
    <row r="49" spans="1:9" x14ac:dyDescent="0.25">
      <c r="A49" s="19">
        <v>44718</v>
      </c>
      <c r="B49" s="4"/>
      <c r="C49" s="2"/>
      <c r="D49" s="4"/>
      <c r="E49" s="2"/>
      <c r="F49" s="106"/>
      <c r="G49" s="94"/>
      <c r="H49" s="204"/>
      <c r="I49" s="207"/>
    </row>
    <row r="50" spans="1:9" x14ac:dyDescent="0.25">
      <c r="A50" s="15">
        <v>44719</v>
      </c>
      <c r="B50" s="9"/>
      <c r="C50" s="8"/>
      <c r="D50" s="9"/>
      <c r="E50" s="8"/>
      <c r="F50" s="12"/>
      <c r="G50" s="28"/>
      <c r="H50" s="204"/>
      <c r="I50" s="207"/>
    </row>
    <row r="51" spans="1:9" x14ac:dyDescent="0.25">
      <c r="A51" s="16">
        <v>44720</v>
      </c>
      <c r="B51" s="12"/>
      <c r="C51" s="11"/>
      <c r="D51" s="12"/>
      <c r="E51" s="11"/>
      <c r="F51" s="12"/>
      <c r="G51" s="28"/>
      <c r="H51" s="204"/>
      <c r="I51" s="207"/>
    </row>
    <row r="52" spans="1:9" x14ac:dyDescent="0.25">
      <c r="A52" s="16">
        <v>44721</v>
      </c>
      <c r="B52" s="12"/>
      <c r="C52" s="11"/>
      <c r="D52" s="12"/>
      <c r="E52" s="11"/>
      <c r="F52" s="12"/>
      <c r="G52" s="28"/>
      <c r="H52" s="204"/>
      <c r="I52" s="207"/>
    </row>
    <row r="53" spans="1:9" x14ac:dyDescent="0.25">
      <c r="A53" s="16">
        <v>44722</v>
      </c>
      <c r="B53" s="12"/>
      <c r="C53" s="11"/>
      <c r="D53" s="12"/>
      <c r="E53" s="11"/>
      <c r="F53" s="12"/>
      <c r="G53" s="28"/>
      <c r="H53" s="204"/>
      <c r="I53" s="207"/>
    </row>
    <row r="54" spans="1:9" x14ac:dyDescent="0.25">
      <c r="A54" s="16">
        <v>44723</v>
      </c>
      <c r="B54" s="12"/>
      <c r="C54" s="11"/>
      <c r="D54" s="12"/>
      <c r="E54" s="11"/>
      <c r="F54" s="12"/>
      <c r="G54" s="28"/>
      <c r="H54" s="204"/>
      <c r="I54" s="207"/>
    </row>
    <row r="55" spans="1:9" x14ac:dyDescent="0.25">
      <c r="A55" s="18">
        <v>44724</v>
      </c>
      <c r="B55" s="3"/>
      <c r="C55" s="1"/>
      <c r="D55" s="3"/>
      <c r="E55" s="1"/>
      <c r="F55" s="21"/>
      <c r="G55" s="92"/>
      <c r="H55" s="204"/>
      <c r="I55" s="207"/>
    </row>
    <row r="56" spans="1:9" x14ac:dyDescent="0.25">
      <c r="A56" s="19">
        <v>44725</v>
      </c>
      <c r="B56" s="4"/>
      <c r="C56" s="2"/>
      <c r="D56" s="4"/>
      <c r="E56" s="2"/>
      <c r="F56" s="106"/>
      <c r="G56" s="94"/>
      <c r="H56" s="204"/>
      <c r="I56" s="207"/>
    </row>
    <row r="57" spans="1:9" x14ac:dyDescent="0.25">
      <c r="A57" s="15">
        <v>44726</v>
      </c>
      <c r="B57" s="9"/>
      <c r="C57" s="8"/>
      <c r="D57" s="9"/>
      <c r="E57" s="8"/>
      <c r="F57" s="12"/>
      <c r="G57" s="28"/>
      <c r="H57" s="204"/>
      <c r="I57" s="207"/>
    </row>
    <row r="58" spans="1:9" x14ac:dyDescent="0.25">
      <c r="A58" s="16">
        <v>44727</v>
      </c>
      <c r="B58" s="12"/>
      <c r="C58" s="11"/>
      <c r="D58" s="12"/>
      <c r="E58" s="11"/>
      <c r="F58" s="12"/>
      <c r="G58" s="28"/>
      <c r="H58" s="204"/>
      <c r="I58" s="207"/>
    </row>
    <row r="59" spans="1:9" x14ac:dyDescent="0.25">
      <c r="A59" s="16">
        <v>44728</v>
      </c>
      <c r="B59" s="12"/>
      <c r="C59" s="11"/>
      <c r="D59" s="12"/>
      <c r="E59" s="11"/>
      <c r="F59" s="12"/>
      <c r="G59" s="28"/>
      <c r="H59" s="204"/>
      <c r="I59" s="207"/>
    </row>
    <row r="60" spans="1:9" x14ac:dyDescent="0.25">
      <c r="A60" s="16">
        <v>44729</v>
      </c>
      <c r="B60" s="12"/>
      <c r="C60" s="11"/>
      <c r="D60" s="12"/>
      <c r="E60" s="11"/>
      <c r="F60" s="12"/>
      <c r="G60" s="28"/>
      <c r="H60" s="204"/>
      <c r="I60" s="207"/>
    </row>
    <row r="61" spans="1:9" x14ac:dyDescent="0.25">
      <c r="A61" s="16">
        <v>44730</v>
      </c>
      <c r="B61" s="12"/>
      <c r="C61" s="11"/>
      <c r="D61" s="12"/>
      <c r="E61" s="11"/>
      <c r="F61" s="12"/>
      <c r="G61" s="28"/>
      <c r="H61" s="204"/>
      <c r="I61" s="207"/>
    </row>
    <row r="62" spans="1:9" x14ac:dyDescent="0.25">
      <c r="A62" s="18">
        <v>44731</v>
      </c>
      <c r="B62" s="3"/>
      <c r="C62" s="1"/>
      <c r="D62" s="3"/>
      <c r="E62" s="1"/>
      <c r="F62" s="21"/>
      <c r="G62" s="92"/>
      <c r="H62" s="204"/>
      <c r="I62" s="207"/>
    </row>
    <row r="63" spans="1:9" x14ac:dyDescent="0.25">
      <c r="A63" s="19">
        <v>44732</v>
      </c>
      <c r="B63" s="4"/>
      <c r="C63" s="2"/>
      <c r="D63" s="4"/>
      <c r="E63" s="2"/>
      <c r="F63" s="106"/>
      <c r="G63" s="94"/>
      <c r="H63" s="204"/>
      <c r="I63" s="207"/>
    </row>
    <row r="64" spans="1:9" x14ac:dyDescent="0.25">
      <c r="A64" s="15">
        <v>44733</v>
      </c>
      <c r="B64" s="9"/>
      <c r="C64" s="8"/>
      <c r="D64" s="9"/>
      <c r="E64" s="8"/>
      <c r="F64" s="12"/>
      <c r="G64" s="28"/>
      <c r="H64" s="204"/>
      <c r="I64" s="207"/>
    </row>
    <row r="65" spans="1:9" x14ac:dyDescent="0.25">
      <c r="A65" s="16">
        <v>44734</v>
      </c>
      <c r="B65" s="12"/>
      <c r="C65" s="11"/>
      <c r="D65" s="12"/>
      <c r="E65" s="11"/>
      <c r="F65" s="12"/>
      <c r="G65" s="28"/>
      <c r="H65" s="204"/>
      <c r="I65" s="207"/>
    </row>
    <row r="66" spans="1:9" x14ac:dyDescent="0.25">
      <c r="A66" s="16">
        <v>44735</v>
      </c>
      <c r="B66" s="12"/>
      <c r="C66" s="11"/>
      <c r="D66" s="12"/>
      <c r="E66" s="11"/>
      <c r="F66" s="12"/>
      <c r="G66" s="28"/>
      <c r="H66" s="204"/>
      <c r="I66" s="207"/>
    </row>
    <row r="67" spans="1:9" x14ac:dyDescent="0.25">
      <c r="A67" s="16">
        <v>44736</v>
      </c>
      <c r="B67" s="12"/>
      <c r="C67" s="11"/>
      <c r="D67" s="12"/>
      <c r="E67" s="11"/>
      <c r="F67" s="12"/>
      <c r="G67" s="28"/>
      <c r="H67" s="204"/>
      <c r="I67" s="207"/>
    </row>
    <row r="68" spans="1:9" x14ac:dyDescent="0.25">
      <c r="A68" s="16">
        <v>44737</v>
      </c>
      <c r="B68" s="12"/>
      <c r="C68" s="11"/>
      <c r="D68" s="12"/>
      <c r="E68" s="11"/>
      <c r="F68" s="12"/>
      <c r="G68" s="28"/>
      <c r="H68" s="204"/>
      <c r="I68" s="207"/>
    </row>
    <row r="69" spans="1:9" x14ac:dyDescent="0.25">
      <c r="A69" s="18">
        <v>44738</v>
      </c>
      <c r="B69" s="3"/>
      <c r="C69" s="1"/>
      <c r="D69" s="3"/>
      <c r="E69" s="1"/>
      <c r="F69" s="21"/>
      <c r="G69" s="92"/>
      <c r="H69" s="204"/>
      <c r="I69" s="207"/>
    </row>
    <row r="70" spans="1:9" x14ac:dyDescent="0.25">
      <c r="A70" s="19">
        <v>44739</v>
      </c>
      <c r="B70" s="4"/>
      <c r="C70" s="2"/>
      <c r="D70" s="4"/>
      <c r="E70" s="2"/>
      <c r="F70" s="106"/>
      <c r="G70" s="94"/>
      <c r="H70" s="204"/>
      <c r="I70" s="207"/>
    </row>
    <row r="71" spans="1:9" x14ac:dyDescent="0.25">
      <c r="A71" s="15">
        <v>44740</v>
      </c>
      <c r="B71" s="9"/>
      <c r="C71" s="8"/>
      <c r="D71" s="9"/>
      <c r="E71" s="8"/>
      <c r="F71" s="12"/>
      <c r="G71" s="28"/>
      <c r="H71" s="204"/>
      <c r="I71" s="207"/>
    </row>
    <row r="72" spans="1:9" x14ac:dyDescent="0.25">
      <c r="A72" s="16">
        <v>44741</v>
      </c>
      <c r="B72" s="12"/>
      <c r="C72" s="11"/>
      <c r="D72" s="12"/>
      <c r="E72" s="11"/>
      <c r="F72" s="12"/>
      <c r="G72" s="28"/>
      <c r="H72" s="204"/>
      <c r="I72" s="207"/>
    </row>
    <row r="73" spans="1:9" x14ac:dyDescent="0.25">
      <c r="A73" s="16">
        <v>44742</v>
      </c>
      <c r="B73" s="12"/>
      <c r="C73" s="11"/>
      <c r="D73" s="12"/>
      <c r="E73" s="11"/>
      <c r="F73" s="12"/>
      <c r="G73" s="28"/>
      <c r="H73" s="205">
        <f>(SUM(F73:F103))*24</f>
        <v>0</v>
      </c>
      <c r="I73" s="211">
        <f>H73*($K$2+$K$2*$L$2)</f>
        <v>0</v>
      </c>
    </row>
    <row r="74" spans="1:9" x14ac:dyDescent="0.25">
      <c r="A74" s="16">
        <v>44743</v>
      </c>
      <c r="B74" s="12"/>
      <c r="C74" s="11"/>
      <c r="D74" s="12"/>
      <c r="E74" s="11"/>
      <c r="F74" s="12"/>
      <c r="G74" s="28"/>
      <c r="H74" s="204"/>
      <c r="I74" s="207"/>
    </row>
    <row r="75" spans="1:9" x14ac:dyDescent="0.25">
      <c r="A75" s="16">
        <v>44744</v>
      </c>
      <c r="B75" s="12"/>
      <c r="C75" s="11"/>
      <c r="D75" s="12"/>
      <c r="E75" s="11"/>
      <c r="F75" s="12"/>
      <c r="G75" s="28"/>
      <c r="H75" s="204"/>
      <c r="I75" s="207"/>
    </row>
    <row r="76" spans="1:9" x14ac:dyDescent="0.25">
      <c r="A76" s="18">
        <v>44745</v>
      </c>
      <c r="B76" s="3"/>
      <c r="C76" s="1"/>
      <c r="D76" s="3"/>
      <c r="E76" s="1"/>
      <c r="F76" s="21"/>
      <c r="G76" s="92"/>
      <c r="H76" s="204"/>
      <c r="I76" s="207"/>
    </row>
    <row r="77" spans="1:9" x14ac:dyDescent="0.25">
      <c r="A77" s="19">
        <v>44746</v>
      </c>
      <c r="B77" s="4"/>
      <c r="C77" s="2"/>
      <c r="D77" s="4"/>
      <c r="E77" s="2"/>
      <c r="F77" s="106"/>
      <c r="G77" s="94"/>
      <c r="H77" s="204"/>
      <c r="I77" s="207"/>
    </row>
    <row r="78" spans="1:9" x14ac:dyDescent="0.25">
      <c r="A78" s="15">
        <v>44747</v>
      </c>
      <c r="B78" s="9"/>
      <c r="C78" s="8"/>
      <c r="D78" s="9"/>
      <c r="E78" s="8"/>
      <c r="F78" s="12"/>
      <c r="G78" s="28"/>
      <c r="H78" s="204"/>
      <c r="I78" s="207"/>
    </row>
    <row r="79" spans="1:9" x14ac:dyDescent="0.25">
      <c r="A79" s="16">
        <v>44748</v>
      </c>
      <c r="B79" s="12"/>
      <c r="C79" s="11"/>
      <c r="D79" s="12"/>
      <c r="E79" s="11"/>
      <c r="F79" s="12"/>
      <c r="G79" s="28"/>
      <c r="H79" s="204"/>
      <c r="I79" s="207"/>
    </row>
    <row r="80" spans="1:9" x14ac:dyDescent="0.25">
      <c r="A80" s="16">
        <v>44749</v>
      </c>
      <c r="B80" s="12"/>
      <c r="C80" s="11"/>
      <c r="D80" s="12"/>
      <c r="E80" s="11"/>
      <c r="F80" s="12"/>
      <c r="G80" s="28"/>
      <c r="H80" s="204"/>
      <c r="I80" s="207"/>
    </row>
    <row r="81" spans="1:9" x14ac:dyDescent="0.25">
      <c r="A81" s="16">
        <v>44750</v>
      </c>
      <c r="B81" s="12"/>
      <c r="C81" s="11"/>
      <c r="D81" s="12"/>
      <c r="E81" s="11"/>
      <c r="F81" s="12"/>
      <c r="G81" s="28"/>
      <c r="H81" s="204"/>
      <c r="I81" s="207"/>
    </row>
    <row r="82" spans="1:9" x14ac:dyDescent="0.25">
      <c r="A82" s="16">
        <v>44751</v>
      </c>
      <c r="B82" s="12"/>
      <c r="C82" s="11"/>
      <c r="D82" s="12"/>
      <c r="E82" s="11"/>
      <c r="F82" s="12"/>
      <c r="G82" s="28"/>
      <c r="H82" s="204"/>
      <c r="I82" s="207"/>
    </row>
    <row r="83" spans="1:9" x14ac:dyDescent="0.25">
      <c r="A83" s="18">
        <v>44752</v>
      </c>
      <c r="B83" s="3"/>
      <c r="C83" s="1"/>
      <c r="D83" s="3"/>
      <c r="E83" s="1"/>
      <c r="F83" s="21"/>
      <c r="G83" s="92"/>
      <c r="H83" s="204"/>
      <c r="I83" s="207"/>
    </row>
    <row r="84" spans="1:9" x14ac:dyDescent="0.25">
      <c r="A84" s="19">
        <v>44753</v>
      </c>
      <c r="B84" s="4"/>
      <c r="C84" s="2"/>
      <c r="D84" s="4"/>
      <c r="E84" s="2"/>
      <c r="F84" s="106"/>
      <c r="G84" s="94"/>
      <c r="H84" s="204"/>
      <c r="I84" s="207"/>
    </row>
    <row r="85" spans="1:9" x14ac:dyDescent="0.25">
      <c r="A85" s="15">
        <v>44754</v>
      </c>
      <c r="B85" s="9"/>
      <c r="C85" s="8"/>
      <c r="D85" s="9"/>
      <c r="E85" s="8"/>
      <c r="F85" s="12"/>
      <c r="G85" s="28"/>
      <c r="H85" s="204"/>
      <c r="I85" s="207"/>
    </row>
    <row r="86" spans="1:9" x14ac:dyDescent="0.25">
      <c r="A86" s="18">
        <v>44755</v>
      </c>
      <c r="B86" s="142"/>
      <c r="C86" s="143"/>
      <c r="D86" s="143"/>
      <c r="E86" s="143"/>
      <c r="F86" s="143"/>
      <c r="G86" s="144"/>
      <c r="H86" s="204"/>
      <c r="I86" s="207"/>
    </row>
    <row r="87" spans="1:9" x14ac:dyDescent="0.25">
      <c r="A87" s="16">
        <v>44756</v>
      </c>
      <c r="B87" s="9"/>
      <c r="C87" s="8"/>
      <c r="D87" s="9"/>
      <c r="E87" s="8"/>
      <c r="F87" s="12"/>
      <c r="G87" s="28"/>
      <c r="H87" s="204"/>
      <c r="I87" s="207"/>
    </row>
    <row r="88" spans="1:9" x14ac:dyDescent="0.25">
      <c r="A88" s="16">
        <v>44757</v>
      </c>
      <c r="B88" s="12"/>
      <c r="C88" s="11"/>
      <c r="D88" s="12"/>
      <c r="E88" s="11"/>
      <c r="F88" s="12"/>
      <c r="G88" s="28"/>
      <c r="H88" s="204"/>
      <c r="I88" s="207"/>
    </row>
    <row r="89" spans="1:9" x14ac:dyDescent="0.25">
      <c r="A89" s="16">
        <v>44758</v>
      </c>
      <c r="B89" s="12"/>
      <c r="C89" s="11"/>
      <c r="D89" s="12"/>
      <c r="E89" s="11"/>
      <c r="F89" s="12"/>
      <c r="G89" s="28"/>
      <c r="H89" s="204"/>
      <c r="I89" s="207"/>
    </row>
    <row r="90" spans="1:9" x14ac:dyDescent="0.25">
      <c r="A90" s="18">
        <v>44759</v>
      </c>
      <c r="B90" s="3"/>
      <c r="C90" s="1"/>
      <c r="D90" s="3"/>
      <c r="E90" s="1"/>
      <c r="F90" s="21"/>
      <c r="G90" s="92"/>
      <c r="H90" s="204"/>
      <c r="I90" s="207"/>
    </row>
    <row r="91" spans="1:9" x14ac:dyDescent="0.25">
      <c r="A91" s="19">
        <v>44760</v>
      </c>
      <c r="B91" s="4"/>
      <c r="C91" s="2"/>
      <c r="D91" s="4"/>
      <c r="E91" s="2"/>
      <c r="F91" s="106"/>
      <c r="G91" s="94"/>
      <c r="H91" s="204"/>
      <c r="I91" s="207"/>
    </row>
    <row r="92" spans="1:9" x14ac:dyDescent="0.25">
      <c r="A92" s="15">
        <v>44761</v>
      </c>
      <c r="B92" s="9"/>
      <c r="C92" s="8"/>
      <c r="D92" s="9"/>
      <c r="E92" s="8"/>
      <c r="F92" s="12"/>
      <c r="G92" s="28"/>
      <c r="H92" s="204"/>
      <c r="I92" s="207"/>
    </row>
    <row r="93" spans="1:9" x14ac:dyDescent="0.25">
      <c r="A93" s="16">
        <v>44762</v>
      </c>
      <c r="B93" s="12"/>
      <c r="C93" s="11"/>
      <c r="D93" s="12"/>
      <c r="E93" s="11"/>
      <c r="F93" s="12"/>
      <c r="G93" s="28"/>
      <c r="H93" s="204"/>
      <c r="I93" s="207"/>
    </row>
    <row r="94" spans="1:9" x14ac:dyDescent="0.25">
      <c r="A94" s="16">
        <v>44763</v>
      </c>
      <c r="B94" s="12"/>
      <c r="C94" s="11"/>
      <c r="D94" s="12"/>
      <c r="E94" s="11"/>
      <c r="F94" s="12"/>
      <c r="G94" s="28"/>
      <c r="H94" s="204"/>
      <c r="I94" s="207"/>
    </row>
    <row r="95" spans="1:9" x14ac:dyDescent="0.25">
      <c r="A95" s="16">
        <v>44764</v>
      </c>
      <c r="B95" s="12"/>
      <c r="C95" s="11"/>
      <c r="D95" s="12"/>
      <c r="E95" s="11"/>
      <c r="F95" s="12"/>
      <c r="G95" s="28"/>
      <c r="H95" s="204"/>
      <c r="I95" s="207"/>
    </row>
    <row r="96" spans="1:9" x14ac:dyDescent="0.25">
      <c r="A96" s="16">
        <v>44765</v>
      </c>
      <c r="B96" s="12"/>
      <c r="C96" s="11"/>
      <c r="D96" s="12"/>
      <c r="E96" s="11"/>
      <c r="F96" s="12"/>
      <c r="G96" s="28"/>
      <c r="H96" s="204"/>
      <c r="I96" s="207"/>
    </row>
    <row r="97" spans="1:9" x14ac:dyDescent="0.25">
      <c r="A97" s="18">
        <v>44766</v>
      </c>
      <c r="B97" s="3"/>
      <c r="C97" s="1"/>
      <c r="D97" s="3"/>
      <c r="E97" s="1"/>
      <c r="F97" s="21"/>
      <c r="G97" s="92"/>
      <c r="H97" s="204"/>
      <c r="I97" s="207"/>
    </row>
    <row r="98" spans="1:9" x14ac:dyDescent="0.25">
      <c r="A98" s="19">
        <v>44767</v>
      </c>
      <c r="B98" s="4"/>
      <c r="C98" s="2"/>
      <c r="D98" s="4"/>
      <c r="E98" s="2"/>
      <c r="F98" s="106"/>
      <c r="G98" s="94"/>
      <c r="H98" s="204"/>
      <c r="I98" s="207"/>
    </row>
    <row r="99" spans="1:9" x14ac:dyDescent="0.25">
      <c r="A99" s="15">
        <v>44768</v>
      </c>
      <c r="B99" s="9"/>
      <c r="C99" s="8"/>
      <c r="D99" s="9"/>
      <c r="E99" s="8"/>
      <c r="F99" s="12"/>
      <c r="G99" s="28"/>
      <c r="H99" s="204"/>
      <c r="I99" s="207"/>
    </row>
    <row r="100" spans="1:9" x14ac:dyDescent="0.25">
      <c r="A100" s="16">
        <v>44769</v>
      </c>
      <c r="B100" s="12"/>
      <c r="C100" s="11"/>
      <c r="D100" s="12"/>
      <c r="E100" s="11"/>
      <c r="F100" s="12"/>
      <c r="G100" s="28"/>
      <c r="H100" s="204"/>
      <c r="I100" s="207"/>
    </row>
    <row r="101" spans="1:9" x14ac:dyDescent="0.25">
      <c r="A101" s="16">
        <v>44770</v>
      </c>
      <c r="B101" s="12"/>
      <c r="C101" s="11"/>
      <c r="D101" s="12"/>
      <c r="E101" s="11"/>
      <c r="F101" s="12"/>
      <c r="G101" s="28"/>
      <c r="H101" s="204"/>
      <c r="I101" s="207"/>
    </row>
    <row r="102" spans="1:9" x14ac:dyDescent="0.25">
      <c r="A102" s="16">
        <v>44771</v>
      </c>
      <c r="B102" s="12"/>
      <c r="C102" s="11"/>
      <c r="D102" s="12"/>
      <c r="E102" s="11"/>
      <c r="F102" s="12"/>
      <c r="G102" s="28"/>
      <c r="H102" s="204"/>
      <c r="I102" s="207"/>
    </row>
    <row r="103" spans="1:9" x14ac:dyDescent="0.25">
      <c r="A103" s="16">
        <v>44772</v>
      </c>
      <c r="B103" s="12"/>
      <c r="C103" s="11"/>
      <c r="D103" s="12"/>
      <c r="E103" s="11"/>
      <c r="F103" s="12"/>
      <c r="G103" s="28"/>
      <c r="H103" s="206"/>
      <c r="I103" s="212"/>
    </row>
    <row r="104" spans="1:9" x14ac:dyDescent="0.25">
      <c r="A104" s="18">
        <v>44773</v>
      </c>
      <c r="B104" s="3"/>
      <c r="C104" s="1"/>
      <c r="D104" s="3"/>
      <c r="E104" s="1"/>
      <c r="F104" s="21"/>
      <c r="G104" s="92"/>
      <c r="H104" s="204">
        <f>(SUM(F104:F126))*24</f>
        <v>0</v>
      </c>
      <c r="I104" s="207">
        <f>H104*($K$2+$K$2*$L$2)</f>
        <v>0</v>
      </c>
    </row>
    <row r="105" spans="1:9" x14ac:dyDescent="0.25">
      <c r="A105" s="19">
        <v>44774</v>
      </c>
      <c r="B105" s="4"/>
      <c r="C105" s="2"/>
      <c r="D105" s="4"/>
      <c r="E105" s="2"/>
      <c r="F105" s="106"/>
      <c r="G105" s="94"/>
      <c r="H105" s="204"/>
      <c r="I105" s="207"/>
    </row>
    <row r="106" spans="1:9" x14ac:dyDescent="0.25">
      <c r="A106" s="15">
        <v>44775</v>
      </c>
      <c r="B106" s="9"/>
      <c r="C106" s="8"/>
      <c r="D106" s="9"/>
      <c r="E106" s="8"/>
      <c r="F106" s="12"/>
      <c r="G106" s="28"/>
      <c r="H106" s="204"/>
      <c r="I106" s="207"/>
    </row>
    <row r="107" spans="1:9" x14ac:dyDescent="0.25">
      <c r="A107" s="16">
        <v>44776</v>
      </c>
      <c r="B107" s="12"/>
      <c r="C107" s="11"/>
      <c r="D107" s="12"/>
      <c r="E107" s="11"/>
      <c r="F107" s="12"/>
      <c r="G107" s="28"/>
      <c r="H107" s="204"/>
      <c r="I107" s="207"/>
    </row>
    <row r="108" spans="1:9" x14ac:dyDescent="0.25">
      <c r="A108" s="16">
        <v>44777</v>
      </c>
      <c r="B108" s="12"/>
      <c r="C108" s="11"/>
      <c r="D108" s="12"/>
      <c r="E108" s="11"/>
      <c r="F108" s="12"/>
      <c r="G108" s="28"/>
      <c r="H108" s="204"/>
      <c r="I108" s="207"/>
    </row>
    <row r="109" spans="1:9" x14ac:dyDescent="0.25">
      <c r="A109" s="16">
        <v>44778</v>
      </c>
      <c r="B109" s="12"/>
      <c r="C109" s="11"/>
      <c r="D109" s="12"/>
      <c r="E109" s="11"/>
      <c r="F109" s="12"/>
      <c r="G109" s="28"/>
      <c r="H109" s="204"/>
      <c r="I109" s="207"/>
    </row>
    <row r="110" spans="1:9" x14ac:dyDescent="0.25">
      <c r="A110" s="16">
        <v>44779</v>
      </c>
      <c r="B110" s="12"/>
      <c r="C110" s="11"/>
      <c r="D110" s="12"/>
      <c r="E110" s="11"/>
      <c r="F110" s="12"/>
      <c r="G110" s="28"/>
      <c r="H110" s="204"/>
      <c r="I110" s="207"/>
    </row>
    <row r="111" spans="1:9" x14ac:dyDescent="0.25">
      <c r="A111" s="18">
        <v>44780</v>
      </c>
      <c r="B111" s="3"/>
      <c r="C111" s="1"/>
      <c r="D111" s="3"/>
      <c r="E111" s="1"/>
      <c r="F111" s="21"/>
      <c r="G111" s="92"/>
      <c r="H111" s="204"/>
      <c r="I111" s="207"/>
    </row>
    <row r="112" spans="1:9" x14ac:dyDescent="0.25">
      <c r="A112" s="19">
        <v>44781</v>
      </c>
      <c r="B112" s="4"/>
      <c r="C112" s="2"/>
      <c r="D112" s="4"/>
      <c r="E112" s="2"/>
      <c r="F112" s="106"/>
      <c r="G112" s="94"/>
      <c r="H112" s="204"/>
      <c r="I112" s="207"/>
    </row>
    <row r="113" spans="1:9" x14ac:dyDescent="0.25">
      <c r="A113" s="15">
        <v>44782</v>
      </c>
      <c r="B113" s="9"/>
      <c r="C113" s="8"/>
      <c r="D113" s="9"/>
      <c r="E113" s="8"/>
      <c r="F113" s="12"/>
      <c r="G113" s="28"/>
      <c r="H113" s="204"/>
      <c r="I113" s="207"/>
    </row>
    <row r="114" spans="1:9" x14ac:dyDescent="0.25">
      <c r="A114" s="16">
        <v>44783</v>
      </c>
      <c r="B114" s="12"/>
      <c r="C114" s="11"/>
      <c r="D114" s="12"/>
      <c r="E114" s="11"/>
      <c r="F114" s="12"/>
      <c r="G114" s="28"/>
      <c r="H114" s="204"/>
      <c r="I114" s="207"/>
    </row>
    <row r="115" spans="1:9" x14ac:dyDescent="0.25">
      <c r="A115" s="16">
        <v>44784</v>
      </c>
      <c r="B115" s="12"/>
      <c r="C115" s="11"/>
      <c r="D115" s="12"/>
      <c r="E115" s="11"/>
      <c r="F115" s="12"/>
      <c r="G115" s="28"/>
      <c r="H115" s="204"/>
      <c r="I115" s="207"/>
    </row>
    <row r="116" spans="1:9" x14ac:dyDescent="0.25">
      <c r="A116" s="16">
        <v>44785</v>
      </c>
      <c r="B116" s="12"/>
      <c r="C116" s="11"/>
      <c r="D116" s="12"/>
      <c r="E116" s="11"/>
      <c r="F116" s="12"/>
      <c r="G116" s="28"/>
      <c r="H116" s="204"/>
      <c r="I116" s="207"/>
    </row>
    <row r="117" spans="1:9" x14ac:dyDescent="0.25">
      <c r="A117" s="16">
        <v>44786</v>
      </c>
      <c r="B117" s="12"/>
      <c r="C117" s="11"/>
      <c r="D117" s="12"/>
      <c r="E117" s="11"/>
      <c r="F117" s="12"/>
      <c r="G117" s="28"/>
      <c r="H117" s="204"/>
      <c r="I117" s="207"/>
    </row>
    <row r="118" spans="1:9" x14ac:dyDescent="0.25">
      <c r="A118" s="18">
        <v>44787</v>
      </c>
      <c r="B118" s="3"/>
      <c r="C118" s="1"/>
      <c r="D118" s="3"/>
      <c r="E118" s="1"/>
      <c r="F118" s="21"/>
      <c r="G118" s="92"/>
      <c r="H118" s="204"/>
      <c r="I118" s="207"/>
    </row>
    <row r="119" spans="1:9" x14ac:dyDescent="0.25">
      <c r="A119" s="19">
        <v>44788</v>
      </c>
      <c r="B119" s="4"/>
      <c r="C119" s="2"/>
      <c r="D119" s="4"/>
      <c r="E119" s="2"/>
      <c r="F119" s="106"/>
      <c r="G119" s="94"/>
      <c r="H119" s="204"/>
      <c r="I119" s="207"/>
    </row>
    <row r="120" spans="1:9" x14ac:dyDescent="0.25">
      <c r="A120" s="15">
        <v>44789</v>
      </c>
      <c r="B120" s="9"/>
      <c r="C120" s="8"/>
      <c r="D120" s="9"/>
      <c r="E120" s="8"/>
      <c r="F120" s="12"/>
      <c r="G120" s="28"/>
      <c r="H120" s="204"/>
      <c r="I120" s="207"/>
    </row>
    <row r="121" spans="1:9" x14ac:dyDescent="0.25">
      <c r="A121" s="16">
        <v>44790</v>
      </c>
      <c r="B121" s="12"/>
      <c r="C121" s="11"/>
      <c r="D121" s="12"/>
      <c r="E121" s="11"/>
      <c r="F121" s="12"/>
      <c r="G121" s="28"/>
      <c r="H121" s="204"/>
      <c r="I121" s="207"/>
    </row>
    <row r="122" spans="1:9" x14ac:dyDescent="0.25">
      <c r="A122" s="16">
        <v>44791</v>
      </c>
      <c r="B122" s="12"/>
      <c r="C122" s="11"/>
      <c r="D122" s="12"/>
      <c r="E122" s="11"/>
      <c r="F122" s="12"/>
      <c r="G122" s="28"/>
      <c r="H122" s="204"/>
      <c r="I122" s="207"/>
    </row>
    <row r="123" spans="1:9" x14ac:dyDescent="0.25">
      <c r="A123" s="16">
        <v>44792</v>
      </c>
      <c r="B123" s="12"/>
      <c r="C123" s="11"/>
      <c r="D123" s="12"/>
      <c r="E123" s="11"/>
      <c r="F123" s="12"/>
      <c r="G123" s="28"/>
      <c r="H123" s="204"/>
      <c r="I123" s="207"/>
    </row>
    <row r="124" spans="1:9" x14ac:dyDescent="0.25">
      <c r="A124" s="16">
        <v>44793</v>
      </c>
      <c r="B124" s="12"/>
      <c r="C124" s="11"/>
      <c r="D124" s="12"/>
      <c r="E124" s="11"/>
      <c r="F124" s="12"/>
      <c r="G124" s="28"/>
      <c r="H124" s="204"/>
      <c r="I124" s="207"/>
    </row>
    <row r="125" spans="1:9" x14ac:dyDescent="0.25">
      <c r="A125" s="110">
        <v>44794</v>
      </c>
      <c r="B125" s="201" t="s">
        <v>33</v>
      </c>
      <c r="C125" s="202"/>
      <c r="D125" s="202"/>
      <c r="E125" s="202"/>
      <c r="F125" s="202"/>
      <c r="G125" s="203"/>
      <c r="H125" s="204"/>
      <c r="I125" s="207"/>
    </row>
    <row r="126" spans="1:9" x14ac:dyDescent="0.25">
      <c r="A126" s="19">
        <v>44795</v>
      </c>
      <c r="B126" s="4"/>
      <c r="C126" s="2"/>
      <c r="D126" s="4"/>
      <c r="E126" s="2"/>
      <c r="F126" s="105"/>
      <c r="G126" s="94"/>
      <c r="H126" s="206"/>
      <c r="I126" s="212"/>
    </row>
    <row r="127" spans="1:9" x14ac:dyDescent="0.25">
      <c r="H127" s="102">
        <f>SUM(H3:H126)</f>
        <v>13.566666666666647</v>
      </c>
      <c r="I127" s="103">
        <f>SUM(I3:I126)</f>
        <v>449.10584583333264</v>
      </c>
    </row>
  </sheetData>
  <mergeCells count="21">
    <mergeCell ref="F1:G1"/>
    <mergeCell ref="H3:H11"/>
    <mergeCell ref="I3:I11"/>
    <mergeCell ref="H12:H42"/>
    <mergeCell ref="A1:A2"/>
    <mergeCell ref="B1:E1"/>
    <mergeCell ref="I43:I72"/>
    <mergeCell ref="I12:I42"/>
    <mergeCell ref="I73:I103"/>
    <mergeCell ref="I104:I126"/>
    <mergeCell ref="H1:I1"/>
    <mergeCell ref="B86:G86"/>
    <mergeCell ref="B125:G125"/>
    <mergeCell ref="H43:H72"/>
    <mergeCell ref="H73:H103"/>
    <mergeCell ref="H104:H126"/>
    <mergeCell ref="K7:L7"/>
    <mergeCell ref="B19:G19"/>
    <mergeCell ref="B12:G12"/>
    <mergeCell ref="B25:G25"/>
    <mergeCell ref="B36:G3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13C2A-9DF4-4C86-91A6-DAA056DA6CBA}">
  <dimension ref="A1:O51"/>
  <sheetViews>
    <sheetView topLeftCell="A40" workbookViewId="0">
      <selection activeCell="L42" sqref="L42"/>
    </sheetView>
  </sheetViews>
  <sheetFormatPr baseColWidth="10" defaultRowHeight="15" x14ac:dyDescent="0.25"/>
  <cols>
    <col min="10" max="10" width="16.28515625" customWidth="1"/>
  </cols>
  <sheetData>
    <row r="1" spans="1:15" x14ac:dyDescent="0.25">
      <c r="A1" s="227" t="s">
        <v>48</v>
      </c>
      <c r="B1" s="227"/>
      <c r="C1" s="227"/>
      <c r="D1" s="227"/>
      <c r="E1" s="227"/>
      <c r="F1" s="227"/>
      <c r="G1" s="227"/>
      <c r="H1" s="227"/>
      <c r="I1" s="227"/>
      <c r="J1" s="227"/>
      <c r="K1" s="227"/>
      <c r="L1" s="227"/>
    </row>
    <row r="2" spans="1:15" x14ac:dyDescent="0.25">
      <c r="A2" s="221" t="s">
        <v>58</v>
      </c>
      <c r="B2" s="221"/>
      <c r="C2" s="221"/>
      <c r="D2" s="221"/>
      <c r="E2" s="221"/>
      <c r="F2" s="221"/>
      <c r="G2" s="221"/>
      <c r="H2" s="221"/>
      <c r="I2" s="221"/>
      <c r="J2" s="221"/>
      <c r="K2" s="221"/>
      <c r="L2" s="221"/>
    </row>
    <row r="3" spans="1:15" x14ac:dyDescent="0.25">
      <c r="A3" s="221" t="s">
        <v>59</v>
      </c>
      <c r="B3" s="221"/>
      <c r="C3" s="221"/>
      <c r="D3" s="221"/>
      <c r="E3" s="221"/>
      <c r="F3" s="221"/>
      <c r="G3" s="221"/>
      <c r="H3" s="221"/>
      <c r="I3" s="221"/>
      <c r="J3" s="221"/>
      <c r="K3" s="221"/>
      <c r="L3" s="221"/>
    </row>
    <row r="4" spans="1:15" ht="89.25" customHeight="1" x14ac:dyDescent="0.25">
      <c r="A4" s="222" t="s">
        <v>82</v>
      </c>
      <c r="B4" s="221"/>
      <c r="C4" s="221"/>
      <c r="D4" s="221"/>
      <c r="E4" s="221"/>
      <c r="F4" s="221"/>
      <c r="G4" s="221"/>
      <c r="H4" s="221"/>
      <c r="I4" s="221"/>
      <c r="J4" s="221"/>
      <c r="K4" s="221"/>
      <c r="L4" s="221"/>
    </row>
    <row r="6" spans="1:15" x14ac:dyDescent="0.25">
      <c r="A6" s="227" t="s">
        <v>41</v>
      </c>
      <c r="B6" s="227"/>
      <c r="C6" s="227"/>
      <c r="D6" s="227"/>
      <c r="E6" s="227"/>
      <c r="F6" s="227"/>
      <c r="G6" s="227"/>
      <c r="H6" s="227"/>
      <c r="I6" s="227"/>
      <c r="J6" s="227"/>
      <c r="K6" s="227"/>
      <c r="L6" s="227"/>
      <c r="M6" s="227"/>
      <c r="N6" s="227"/>
      <c r="O6" s="227"/>
    </row>
    <row r="7" spans="1:15" x14ac:dyDescent="0.25">
      <c r="A7" s="221" t="s">
        <v>60</v>
      </c>
      <c r="B7" s="221"/>
      <c r="C7" s="221"/>
      <c r="D7" s="221"/>
      <c r="E7" s="221"/>
      <c r="F7" s="221"/>
      <c r="G7" s="221"/>
      <c r="H7" s="221"/>
      <c r="I7" s="221"/>
      <c r="J7" s="221"/>
      <c r="K7" s="221"/>
      <c r="L7" s="221"/>
      <c r="M7" s="221"/>
      <c r="N7" s="221"/>
      <c r="O7" s="221"/>
    </row>
    <row r="8" spans="1:15" x14ac:dyDescent="0.25">
      <c r="A8" s="221" t="s">
        <v>61</v>
      </c>
      <c r="B8" s="221"/>
      <c r="C8" s="221"/>
      <c r="D8" s="221"/>
      <c r="E8" s="221"/>
      <c r="F8" s="221"/>
      <c r="G8" s="221"/>
      <c r="H8" s="221"/>
      <c r="I8" s="221"/>
      <c r="J8" s="221"/>
      <c r="K8" s="221"/>
      <c r="L8" s="221"/>
      <c r="M8" s="221"/>
      <c r="N8" s="221"/>
      <c r="O8" s="221"/>
    </row>
    <row r="9" spans="1:15" x14ac:dyDescent="0.25">
      <c r="A9" s="221" t="s">
        <v>62</v>
      </c>
      <c r="B9" s="221"/>
      <c r="C9" s="221"/>
      <c r="D9" s="221"/>
      <c r="E9" s="221"/>
      <c r="F9" s="221"/>
      <c r="G9" s="221"/>
      <c r="H9" s="221"/>
      <c r="I9" s="221"/>
      <c r="J9" s="221"/>
      <c r="K9" s="221"/>
      <c r="L9" s="221"/>
      <c r="M9" s="221"/>
      <c r="N9" s="221"/>
      <c r="O9" s="221"/>
    </row>
    <row r="10" spans="1:15" x14ac:dyDescent="0.25">
      <c r="A10" s="221" t="s">
        <v>63</v>
      </c>
      <c r="B10" s="221"/>
      <c r="C10" s="221"/>
      <c r="D10" s="221"/>
      <c r="E10" s="221"/>
      <c r="F10" s="221"/>
      <c r="G10" s="221"/>
      <c r="H10" s="221"/>
      <c r="I10" s="221"/>
      <c r="J10" s="221"/>
      <c r="K10" s="221"/>
      <c r="L10" s="221"/>
      <c r="M10" s="221"/>
      <c r="N10" s="221"/>
      <c r="O10" s="221"/>
    </row>
    <row r="11" spans="1:15" x14ac:dyDescent="0.25">
      <c r="A11" s="221" t="s">
        <v>64</v>
      </c>
      <c r="B11" s="221"/>
      <c r="C11" s="221"/>
      <c r="D11" s="221"/>
      <c r="E11" s="221"/>
      <c r="F11" s="221"/>
      <c r="G11" s="221"/>
      <c r="H11" s="221"/>
      <c r="I11" s="221"/>
      <c r="J11" s="221"/>
      <c r="K11" s="221"/>
      <c r="L11" s="221"/>
      <c r="M11" s="221"/>
      <c r="N11" s="221"/>
      <c r="O11" s="221"/>
    </row>
    <row r="12" spans="1:15" x14ac:dyDescent="0.25">
      <c r="A12" s="221" t="s">
        <v>65</v>
      </c>
      <c r="B12" s="221"/>
      <c r="C12" s="221"/>
      <c r="D12" s="221"/>
      <c r="E12" s="221"/>
      <c r="F12" s="221"/>
      <c r="G12" s="221"/>
      <c r="H12" s="221"/>
      <c r="I12" s="221"/>
      <c r="J12" s="221"/>
      <c r="K12" s="221"/>
      <c r="L12" s="221"/>
      <c r="M12" s="221"/>
      <c r="N12" s="221"/>
      <c r="O12" s="221"/>
    </row>
    <row r="13" spans="1:15" x14ac:dyDescent="0.25">
      <c r="A13" s="221" t="s">
        <v>66</v>
      </c>
      <c r="B13" s="221"/>
      <c r="C13" s="221"/>
      <c r="D13" s="221"/>
      <c r="E13" s="221"/>
      <c r="F13" s="221"/>
      <c r="G13" s="221"/>
      <c r="H13" s="221"/>
      <c r="I13" s="221"/>
      <c r="J13" s="221"/>
      <c r="K13" s="221"/>
      <c r="L13" s="221"/>
      <c r="M13" s="221"/>
      <c r="N13" s="221"/>
      <c r="O13" s="221"/>
    </row>
    <row r="14" spans="1:15" x14ac:dyDescent="0.25">
      <c r="A14" s="221" t="s">
        <v>67</v>
      </c>
      <c r="B14" s="221"/>
      <c r="C14" s="221"/>
      <c r="D14" s="221"/>
      <c r="E14" s="221"/>
      <c r="F14" s="221"/>
      <c r="G14" s="221"/>
      <c r="H14" s="221"/>
      <c r="I14" s="221"/>
      <c r="J14" s="221"/>
      <c r="K14" s="221"/>
      <c r="L14" s="221"/>
      <c r="M14" s="221"/>
      <c r="N14" s="221"/>
      <c r="O14" s="221"/>
    </row>
    <row r="16" spans="1:15" x14ac:dyDescent="0.25">
      <c r="A16" s="228" t="s">
        <v>44</v>
      </c>
      <c r="B16" s="229"/>
      <c r="C16" s="229"/>
      <c r="D16" s="229"/>
      <c r="E16" s="229"/>
      <c r="F16" s="229"/>
      <c r="G16" s="229"/>
      <c r="H16" s="230"/>
    </row>
    <row r="17" spans="1:12" x14ac:dyDescent="0.25">
      <c r="A17" s="221" t="s">
        <v>53</v>
      </c>
      <c r="B17" s="221"/>
      <c r="C17" s="221"/>
      <c r="D17" s="221"/>
      <c r="E17" s="221"/>
      <c r="F17" s="221"/>
      <c r="G17" s="221"/>
      <c r="H17" s="126" t="s">
        <v>93</v>
      </c>
    </row>
    <row r="18" spans="1:12" x14ac:dyDescent="0.25">
      <c r="A18" s="221" t="s">
        <v>54</v>
      </c>
      <c r="B18" s="221"/>
      <c r="C18" s="221"/>
      <c r="D18" s="221"/>
      <c r="E18" s="221"/>
      <c r="F18" s="221"/>
      <c r="G18" s="221"/>
      <c r="H18" s="126" t="s">
        <v>95</v>
      </c>
    </row>
    <row r="19" spans="1:12" x14ac:dyDescent="0.25">
      <c r="A19" s="221" t="s">
        <v>68</v>
      </c>
      <c r="B19" s="221"/>
      <c r="C19" s="221"/>
      <c r="D19" s="221"/>
      <c r="E19" s="221"/>
      <c r="F19" s="221"/>
      <c r="G19" s="221"/>
      <c r="H19" s="126" t="s">
        <v>95</v>
      </c>
    </row>
    <row r="20" spans="1:12" x14ac:dyDescent="0.25">
      <c r="A20" s="221" t="s">
        <v>55</v>
      </c>
      <c r="B20" s="221"/>
      <c r="C20" s="221"/>
      <c r="D20" s="221"/>
      <c r="E20" s="221"/>
      <c r="F20" s="221"/>
      <c r="G20" s="221"/>
      <c r="H20" s="126" t="s">
        <v>95</v>
      </c>
    </row>
    <row r="21" spans="1:12" x14ac:dyDescent="0.25">
      <c r="A21" s="221" t="s">
        <v>56</v>
      </c>
      <c r="B21" s="221"/>
      <c r="C21" s="221"/>
      <c r="D21" s="221"/>
      <c r="E21" s="221"/>
      <c r="F21" s="221"/>
      <c r="G21" s="221"/>
      <c r="H21" s="126" t="s">
        <v>93</v>
      </c>
    </row>
    <row r="22" spans="1:12" x14ac:dyDescent="0.25">
      <c r="A22" s="221" t="s">
        <v>57</v>
      </c>
      <c r="B22" s="221"/>
      <c r="C22" s="221"/>
      <c r="D22" s="221"/>
      <c r="E22" s="221"/>
      <c r="F22" s="221"/>
      <c r="G22" s="221"/>
      <c r="H22" s="126" t="s">
        <v>94</v>
      </c>
    </row>
    <row r="24" spans="1:12" x14ac:dyDescent="0.25">
      <c r="A24" s="227" t="s">
        <v>45</v>
      </c>
      <c r="B24" s="227"/>
      <c r="C24" s="227"/>
      <c r="D24" s="227"/>
      <c r="E24" s="227"/>
      <c r="F24" s="227"/>
      <c r="G24" s="227"/>
      <c r="H24" s="227"/>
      <c r="I24" s="227"/>
      <c r="J24" s="227"/>
      <c r="K24" s="227"/>
      <c r="L24" s="227"/>
    </row>
    <row r="25" spans="1:12" x14ac:dyDescent="0.25">
      <c r="A25" s="240" t="s">
        <v>49</v>
      </c>
      <c r="B25" s="240"/>
      <c r="C25" s="240"/>
      <c r="D25" s="240"/>
      <c r="E25" s="240"/>
      <c r="F25" s="240"/>
      <c r="G25" s="240"/>
      <c r="H25" s="240"/>
      <c r="I25" s="240"/>
      <c r="J25" s="240"/>
      <c r="K25" s="240"/>
      <c r="L25" s="240"/>
    </row>
    <row r="26" spans="1:12" x14ac:dyDescent="0.25">
      <c r="A26" s="240" t="s">
        <v>50</v>
      </c>
      <c r="B26" s="240"/>
      <c r="C26" s="240"/>
      <c r="D26" s="240"/>
      <c r="E26" s="240"/>
      <c r="F26" s="240"/>
      <c r="G26" s="240"/>
      <c r="H26" s="240"/>
      <c r="I26" s="240"/>
      <c r="J26" s="240"/>
      <c r="K26" s="240"/>
      <c r="L26" s="240"/>
    </row>
    <row r="27" spans="1:12" x14ac:dyDescent="0.25">
      <c r="A27" s="240" t="s">
        <v>51</v>
      </c>
      <c r="B27" s="240"/>
      <c r="C27" s="240"/>
      <c r="D27" s="240"/>
      <c r="E27" s="240"/>
      <c r="F27" s="240"/>
      <c r="G27" s="240"/>
      <c r="H27" s="240"/>
      <c r="I27" s="240"/>
      <c r="J27" s="240"/>
      <c r="K27" s="240"/>
      <c r="L27" s="240"/>
    </row>
    <row r="28" spans="1:12" x14ac:dyDescent="0.25">
      <c r="A28" s="240" t="s">
        <v>52</v>
      </c>
      <c r="B28" s="240"/>
      <c r="C28" s="240"/>
      <c r="D28" s="240"/>
      <c r="E28" s="240"/>
      <c r="F28" s="240"/>
      <c r="G28" s="240"/>
      <c r="H28" s="240"/>
      <c r="I28" s="240"/>
      <c r="J28" s="240"/>
      <c r="K28" s="240"/>
      <c r="L28" s="240"/>
    </row>
    <row r="30" spans="1:12" x14ac:dyDescent="0.25">
      <c r="A30" s="227" t="s">
        <v>77</v>
      </c>
      <c r="B30" s="227"/>
      <c r="C30" s="227"/>
    </row>
    <row r="31" spans="1:12" x14ac:dyDescent="0.25">
      <c r="A31" s="31" t="s">
        <v>69</v>
      </c>
      <c r="B31" s="221" t="s">
        <v>70</v>
      </c>
      <c r="C31" s="221"/>
    </row>
    <row r="32" spans="1:12" x14ac:dyDescent="0.25">
      <c r="A32" s="31" t="s">
        <v>71</v>
      </c>
      <c r="B32" s="221" t="s">
        <v>76</v>
      </c>
      <c r="C32" s="221"/>
    </row>
    <row r="33" spans="1:10" x14ac:dyDescent="0.25">
      <c r="A33" s="31" t="s">
        <v>73</v>
      </c>
      <c r="B33" s="221" t="s">
        <v>74</v>
      </c>
      <c r="C33" s="221"/>
    </row>
    <row r="34" spans="1:10" x14ac:dyDescent="0.25">
      <c r="A34" s="31" t="s">
        <v>72</v>
      </c>
      <c r="B34" s="221" t="s">
        <v>75</v>
      </c>
      <c r="C34" s="221"/>
    </row>
    <row r="36" spans="1:10" x14ac:dyDescent="0.25">
      <c r="A36" s="228" t="s">
        <v>78</v>
      </c>
      <c r="B36" s="229"/>
      <c r="C36" s="229"/>
      <c r="D36" s="229"/>
      <c r="E36" s="229"/>
      <c r="F36" s="229"/>
      <c r="G36" s="229"/>
      <c r="H36" s="229"/>
      <c r="I36" s="229"/>
      <c r="J36" s="230"/>
    </row>
    <row r="37" spans="1:10" x14ac:dyDescent="0.25">
      <c r="A37" s="122">
        <v>44659</v>
      </c>
      <c r="B37" s="221" t="s">
        <v>79</v>
      </c>
      <c r="C37" s="221"/>
      <c r="D37" s="221"/>
      <c r="E37" s="221"/>
      <c r="F37" s="221"/>
      <c r="G37" s="221"/>
      <c r="H37" s="221"/>
      <c r="I37" s="221"/>
      <c r="J37" s="221"/>
    </row>
    <row r="38" spans="1:10" s="121" customFormat="1" ht="60.75" customHeight="1" x14ac:dyDescent="0.25">
      <c r="A38" s="123">
        <v>44672</v>
      </c>
      <c r="B38" s="222" t="s">
        <v>80</v>
      </c>
      <c r="C38" s="222"/>
      <c r="D38" s="222"/>
      <c r="E38" s="222"/>
      <c r="F38" s="222"/>
      <c r="G38" s="222"/>
      <c r="H38" s="222"/>
      <c r="I38" s="222"/>
      <c r="J38" s="222"/>
    </row>
    <row r="39" spans="1:10" ht="30.75" customHeight="1" x14ac:dyDescent="0.25">
      <c r="A39" s="122">
        <v>44680</v>
      </c>
      <c r="B39" s="222" t="s">
        <v>83</v>
      </c>
      <c r="C39" s="221"/>
      <c r="D39" s="221"/>
      <c r="E39" s="221"/>
      <c r="F39" s="221"/>
      <c r="G39" s="221"/>
      <c r="H39" s="221"/>
      <c r="I39" s="221"/>
      <c r="J39" s="221"/>
    </row>
    <row r="40" spans="1:10" ht="91.5" customHeight="1" x14ac:dyDescent="0.25">
      <c r="A40" s="122">
        <v>44684</v>
      </c>
      <c r="B40" s="222" t="s">
        <v>84</v>
      </c>
      <c r="C40" s="221"/>
      <c r="D40" s="221"/>
      <c r="E40" s="221"/>
      <c r="F40" s="221"/>
      <c r="G40" s="221"/>
      <c r="H40" s="221"/>
      <c r="I40" s="221"/>
      <c r="J40" s="221"/>
    </row>
    <row r="41" spans="1:10" ht="77.25" customHeight="1" x14ac:dyDescent="0.25">
      <c r="A41" s="122">
        <v>44685</v>
      </c>
      <c r="B41" s="223" t="s">
        <v>81</v>
      </c>
      <c r="C41" s="223"/>
      <c r="D41" s="223"/>
      <c r="E41" s="223"/>
      <c r="F41" s="223"/>
      <c r="G41" s="223"/>
      <c r="H41" s="223"/>
      <c r="I41" s="223"/>
      <c r="J41" s="223"/>
    </row>
    <row r="42" spans="1:10" ht="45" customHeight="1" x14ac:dyDescent="0.25">
      <c r="A42" s="122">
        <v>44691</v>
      </c>
      <c r="B42" s="222" t="s">
        <v>99</v>
      </c>
      <c r="C42" s="221"/>
      <c r="D42" s="221"/>
      <c r="E42" s="221"/>
      <c r="F42" s="221"/>
      <c r="G42" s="221"/>
      <c r="H42" s="221"/>
      <c r="I42" s="221"/>
      <c r="J42" s="221"/>
    </row>
    <row r="43" spans="1:10" ht="44.25" customHeight="1" x14ac:dyDescent="0.25">
      <c r="A43" s="122">
        <v>44693</v>
      </c>
      <c r="B43" s="222" t="s">
        <v>85</v>
      </c>
      <c r="C43" s="221"/>
      <c r="D43" s="221"/>
      <c r="E43" s="221"/>
      <c r="F43" s="221"/>
      <c r="G43" s="221"/>
      <c r="H43" s="221"/>
      <c r="I43" s="221"/>
      <c r="J43" s="221"/>
    </row>
    <row r="44" spans="1:10" x14ac:dyDescent="0.25">
      <c r="A44" s="124" t="s">
        <v>86</v>
      </c>
      <c r="B44" s="231" t="s">
        <v>90</v>
      </c>
      <c r="C44" s="232"/>
      <c r="D44" s="232"/>
      <c r="E44" s="232"/>
      <c r="F44" s="232"/>
      <c r="G44" s="232"/>
      <c r="H44" s="232"/>
      <c r="I44" s="232"/>
      <c r="J44" s="233"/>
    </row>
    <row r="45" spans="1:10" ht="30" customHeight="1" x14ac:dyDescent="0.25">
      <c r="A45" s="124" t="s">
        <v>86</v>
      </c>
      <c r="B45" s="234" t="s">
        <v>89</v>
      </c>
      <c r="C45" s="235"/>
      <c r="D45" s="235"/>
      <c r="E45" s="235"/>
      <c r="F45" s="235"/>
      <c r="G45" s="235"/>
      <c r="H45" s="235"/>
      <c r="I45" s="235"/>
      <c r="J45" s="236"/>
    </row>
    <row r="46" spans="1:10" x14ac:dyDescent="0.25">
      <c r="A46" s="124" t="s">
        <v>86</v>
      </c>
      <c r="B46" s="237" t="s">
        <v>87</v>
      </c>
      <c r="C46" s="238"/>
      <c r="D46" s="238"/>
      <c r="E46" s="238"/>
      <c r="F46" s="238"/>
      <c r="G46" s="238"/>
      <c r="H46" s="238"/>
      <c r="I46" s="238"/>
      <c r="J46" s="239"/>
    </row>
    <row r="47" spans="1:10" x14ac:dyDescent="0.25">
      <c r="A47" s="124" t="s">
        <v>86</v>
      </c>
      <c r="B47" s="224" t="s">
        <v>88</v>
      </c>
      <c r="C47" s="225"/>
      <c r="D47" s="225"/>
      <c r="E47" s="225"/>
      <c r="F47" s="225"/>
      <c r="G47" s="225"/>
      <c r="H47" s="225"/>
      <c r="I47" s="225"/>
      <c r="J47" s="226"/>
    </row>
    <row r="49" spans="1:12" x14ac:dyDescent="0.25">
      <c r="A49" s="242" t="s">
        <v>96</v>
      </c>
      <c r="B49" s="242"/>
      <c r="C49" s="242"/>
      <c r="D49" s="242"/>
      <c r="E49" s="242"/>
      <c r="F49" s="242"/>
      <c r="G49" s="242"/>
      <c r="H49" s="242"/>
      <c r="I49" s="242"/>
      <c r="J49" s="242"/>
      <c r="K49" s="242"/>
      <c r="L49" s="242"/>
    </row>
    <row r="50" spans="1:12" ht="105.75" customHeight="1" x14ac:dyDescent="0.25">
      <c r="A50" s="222" t="s">
        <v>97</v>
      </c>
      <c r="B50" s="222"/>
      <c r="C50" s="222"/>
      <c r="D50" s="222"/>
      <c r="E50" s="222"/>
      <c r="F50" s="222"/>
      <c r="G50" s="222"/>
      <c r="H50" s="222"/>
      <c r="I50" s="222"/>
      <c r="J50" s="222"/>
      <c r="K50" s="222"/>
      <c r="L50" s="222"/>
    </row>
    <row r="51" spans="1:12" ht="120" customHeight="1" x14ac:dyDescent="0.25">
      <c r="A51" s="222" t="s">
        <v>98</v>
      </c>
      <c r="B51" s="221"/>
      <c r="C51" s="221"/>
      <c r="D51" s="221"/>
      <c r="E51" s="221"/>
      <c r="F51" s="221"/>
      <c r="G51" s="221"/>
      <c r="H51" s="221"/>
      <c r="I51" s="221"/>
      <c r="J51" s="221"/>
      <c r="K51" s="221"/>
      <c r="L51" s="221"/>
    </row>
  </sheetData>
  <mergeCells count="45">
    <mergeCell ref="A50:L50"/>
    <mergeCell ref="A49:L49"/>
    <mergeCell ref="A51:L51"/>
    <mergeCell ref="A1:L1"/>
    <mergeCell ref="A36:J36"/>
    <mergeCell ref="B44:J44"/>
    <mergeCell ref="B45:J45"/>
    <mergeCell ref="B46:J46"/>
    <mergeCell ref="A19:G19"/>
    <mergeCell ref="A20:G20"/>
    <mergeCell ref="A21:G21"/>
    <mergeCell ref="A22:G22"/>
    <mergeCell ref="A30:C30"/>
    <mergeCell ref="A24:L24"/>
    <mergeCell ref="A25:L25"/>
    <mergeCell ref="A26:L26"/>
    <mergeCell ref="A27:L27"/>
    <mergeCell ref="A28:L28"/>
    <mergeCell ref="B43:J43"/>
    <mergeCell ref="B47:J47"/>
    <mergeCell ref="A6:O6"/>
    <mergeCell ref="A2:L2"/>
    <mergeCell ref="A3:L3"/>
    <mergeCell ref="A4:L4"/>
    <mergeCell ref="A7:O7"/>
    <mergeCell ref="A8:O8"/>
    <mergeCell ref="A9:O9"/>
    <mergeCell ref="A10:O10"/>
    <mergeCell ref="A11:O11"/>
    <mergeCell ref="A12:O12"/>
    <mergeCell ref="A13:O13"/>
    <mergeCell ref="A14:O14"/>
    <mergeCell ref="A17:G17"/>
    <mergeCell ref="A18:G18"/>
    <mergeCell ref="A16:H16"/>
    <mergeCell ref="B42:J42"/>
    <mergeCell ref="B31:C31"/>
    <mergeCell ref="B32:C32"/>
    <mergeCell ref="B33:C33"/>
    <mergeCell ref="B34:C34"/>
    <mergeCell ref="B37:J37"/>
    <mergeCell ref="B38:J38"/>
    <mergeCell ref="B39:J39"/>
    <mergeCell ref="B40:J40"/>
    <mergeCell ref="B41:J41"/>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2026</vt:lpstr>
      <vt:lpstr>Justif MCA</vt:lpstr>
      <vt:lpstr>Préparation Dossier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MOUTIER Aurélien (PRESTA EXT)</dc:creator>
  <cp:lastModifiedBy>MOUTIER Aurélien (PRESTA EXT)</cp:lastModifiedBy>
  <dcterms:created xsi:type="dcterms:W3CDTF">2015-06-05T18:19:34Z</dcterms:created>
  <dcterms:modified xsi:type="dcterms:W3CDTF">2026-05-21T07:00:44Z</dcterms:modified>
</cp:coreProperties>
</file>